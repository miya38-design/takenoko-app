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bookViews>
    <workbookView xWindow="0" yWindow="0" windowWidth="11640" windowHeight="6975"/>
  </bookViews>
  <sheets>
    <sheet name="受付表" sheetId="1" r:id="rId1"/>
    <sheet name="集計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H85" i="1" l="1"/>
  <c r="C61" i="1" l="1"/>
  <c r="H181" i="1" l="1"/>
  <c r="C181" i="1"/>
  <c r="G180" i="1"/>
  <c r="I180" i="1" s="1"/>
  <c r="B180" i="1"/>
  <c r="D180" i="1" s="1"/>
  <c r="G179" i="1"/>
  <c r="I179" i="1" s="1"/>
  <c r="B179" i="1"/>
  <c r="D179" i="1" s="1"/>
  <c r="G178" i="1"/>
  <c r="I178" i="1" s="1"/>
  <c r="B178" i="1"/>
  <c r="D178" i="1" s="1"/>
  <c r="G177" i="1"/>
  <c r="I177" i="1" s="1"/>
  <c r="B177" i="1"/>
  <c r="D177" i="1" s="1"/>
  <c r="G176" i="1"/>
  <c r="I176" i="1" s="1"/>
  <c r="B176" i="1"/>
  <c r="D176" i="1" s="1"/>
  <c r="G175" i="1"/>
  <c r="I175" i="1" s="1"/>
  <c r="B175" i="1"/>
  <c r="D175" i="1" s="1"/>
  <c r="D173" i="1"/>
  <c r="I173" i="1" s="1"/>
  <c r="G172" i="1"/>
  <c r="B172" i="1"/>
  <c r="H169" i="1"/>
  <c r="C169" i="1"/>
  <c r="G168" i="1"/>
  <c r="I168" i="1" s="1"/>
  <c r="B168" i="1"/>
  <c r="D168" i="1" s="1"/>
  <c r="G167" i="1"/>
  <c r="I167" i="1" s="1"/>
  <c r="B167" i="1"/>
  <c r="D167" i="1" s="1"/>
  <c r="G166" i="1"/>
  <c r="I166" i="1" s="1"/>
  <c r="B166" i="1"/>
  <c r="D166" i="1" s="1"/>
  <c r="G165" i="1"/>
  <c r="I165" i="1" s="1"/>
  <c r="B165" i="1"/>
  <c r="D165" i="1" s="1"/>
  <c r="G164" i="1"/>
  <c r="I164" i="1" s="1"/>
  <c r="B164" i="1"/>
  <c r="D164" i="1" s="1"/>
  <c r="G163" i="1"/>
  <c r="I163" i="1" s="1"/>
  <c r="B163" i="1"/>
  <c r="D163" i="1" s="1"/>
  <c r="D161" i="1"/>
  <c r="I161" i="1" s="1"/>
  <c r="G160" i="1"/>
  <c r="B160" i="1"/>
  <c r="H157" i="1"/>
  <c r="C157" i="1"/>
  <c r="G156" i="1"/>
  <c r="I156" i="1" s="1"/>
  <c r="B156" i="1"/>
  <c r="D156" i="1" s="1"/>
  <c r="G155" i="1"/>
  <c r="I155" i="1" s="1"/>
  <c r="B155" i="1"/>
  <c r="D155" i="1" s="1"/>
  <c r="G154" i="1"/>
  <c r="I154" i="1" s="1"/>
  <c r="B154" i="1"/>
  <c r="D154" i="1" s="1"/>
  <c r="G153" i="1"/>
  <c r="I153" i="1" s="1"/>
  <c r="B153" i="1"/>
  <c r="D153" i="1" s="1"/>
  <c r="G152" i="1"/>
  <c r="I152" i="1" s="1"/>
  <c r="B152" i="1"/>
  <c r="D152" i="1" s="1"/>
  <c r="G151" i="1"/>
  <c r="I151" i="1" s="1"/>
  <c r="B151" i="1"/>
  <c r="D151" i="1" s="1"/>
  <c r="D149" i="1"/>
  <c r="I149" i="1" s="1"/>
  <c r="G148" i="1"/>
  <c r="B148" i="1"/>
  <c r="H145" i="1"/>
  <c r="C145" i="1"/>
  <c r="G144" i="1"/>
  <c r="I144" i="1" s="1"/>
  <c r="B144" i="1"/>
  <c r="D144" i="1" s="1"/>
  <c r="G143" i="1"/>
  <c r="I143" i="1" s="1"/>
  <c r="B143" i="1"/>
  <c r="D143" i="1" s="1"/>
  <c r="G142" i="1"/>
  <c r="I142" i="1" s="1"/>
  <c r="B142" i="1"/>
  <c r="D142" i="1" s="1"/>
  <c r="G141" i="1"/>
  <c r="I141" i="1" s="1"/>
  <c r="B141" i="1"/>
  <c r="D141" i="1" s="1"/>
  <c r="G140" i="1"/>
  <c r="I140" i="1" s="1"/>
  <c r="B140" i="1"/>
  <c r="D140" i="1" s="1"/>
  <c r="G139" i="1"/>
  <c r="I139" i="1" s="1"/>
  <c r="B139" i="1"/>
  <c r="D139" i="1" s="1"/>
  <c r="D137" i="1"/>
  <c r="I137" i="1" s="1"/>
  <c r="G136" i="1"/>
  <c r="B136" i="1"/>
  <c r="H133" i="1"/>
  <c r="C133" i="1"/>
  <c r="G132" i="1"/>
  <c r="I132" i="1" s="1"/>
  <c r="B132" i="1"/>
  <c r="D132" i="1" s="1"/>
  <c r="G131" i="1"/>
  <c r="I131" i="1" s="1"/>
  <c r="D131" i="1"/>
  <c r="B131" i="1"/>
  <c r="G130" i="1"/>
  <c r="I130" i="1" s="1"/>
  <c r="B130" i="1"/>
  <c r="D130" i="1" s="1"/>
  <c r="G129" i="1"/>
  <c r="I129" i="1" s="1"/>
  <c r="B129" i="1"/>
  <c r="D129" i="1" s="1"/>
  <c r="G128" i="1"/>
  <c r="I128" i="1" s="1"/>
  <c r="B128" i="1"/>
  <c r="D128" i="1" s="1"/>
  <c r="G127" i="1"/>
  <c r="I127" i="1" s="1"/>
  <c r="B127" i="1"/>
  <c r="D127" i="1" s="1"/>
  <c r="D125" i="1"/>
  <c r="I125" i="1" s="1"/>
  <c r="G124" i="1"/>
  <c r="B124" i="1"/>
  <c r="H121" i="1"/>
  <c r="C121" i="1"/>
  <c r="G120" i="1"/>
  <c r="I120" i="1" s="1"/>
  <c r="B120" i="1"/>
  <c r="D120" i="1" s="1"/>
  <c r="G119" i="1"/>
  <c r="I119" i="1" s="1"/>
  <c r="B119" i="1"/>
  <c r="D119" i="1" s="1"/>
  <c r="G118" i="1"/>
  <c r="I118" i="1" s="1"/>
  <c r="B118" i="1"/>
  <c r="D118" i="1" s="1"/>
  <c r="G117" i="1"/>
  <c r="I117" i="1" s="1"/>
  <c r="B117" i="1"/>
  <c r="D117" i="1" s="1"/>
  <c r="G116" i="1"/>
  <c r="I116" i="1" s="1"/>
  <c r="B116" i="1"/>
  <c r="D116" i="1" s="1"/>
  <c r="G115" i="1"/>
  <c r="I115" i="1" s="1"/>
  <c r="B115" i="1"/>
  <c r="D115" i="1" s="1"/>
  <c r="D113" i="1"/>
  <c r="I113" i="1" s="1"/>
  <c r="G112" i="1"/>
  <c r="B112" i="1"/>
  <c r="H109" i="1"/>
  <c r="C109" i="1"/>
  <c r="G108" i="1"/>
  <c r="I108" i="1" s="1"/>
  <c r="B108" i="1"/>
  <c r="D108" i="1" s="1"/>
  <c r="G107" i="1"/>
  <c r="I107" i="1" s="1"/>
  <c r="B107" i="1"/>
  <c r="D107" i="1" s="1"/>
  <c r="G106" i="1"/>
  <c r="I106" i="1" s="1"/>
  <c r="B106" i="1"/>
  <c r="D106" i="1" s="1"/>
  <c r="G105" i="1"/>
  <c r="I105" i="1" s="1"/>
  <c r="B105" i="1"/>
  <c r="D105" i="1" s="1"/>
  <c r="G104" i="1"/>
  <c r="I104" i="1" s="1"/>
  <c r="B104" i="1"/>
  <c r="D104" i="1" s="1"/>
  <c r="G103" i="1"/>
  <c r="I103" i="1" s="1"/>
  <c r="B103" i="1"/>
  <c r="D103" i="1" s="1"/>
  <c r="D101" i="1"/>
  <c r="I101" i="1" s="1"/>
  <c r="G100" i="1"/>
  <c r="B100" i="1"/>
  <c r="H97" i="1"/>
  <c r="C97" i="1"/>
  <c r="G96" i="1"/>
  <c r="I96" i="1" s="1"/>
  <c r="B96" i="1"/>
  <c r="D96" i="1" s="1"/>
  <c r="G95" i="1"/>
  <c r="I95" i="1" s="1"/>
  <c r="B95" i="1"/>
  <c r="D95" i="1" s="1"/>
  <c r="G94" i="1"/>
  <c r="I94" i="1" s="1"/>
  <c r="B94" i="1"/>
  <c r="D94" i="1" s="1"/>
  <c r="G93" i="1"/>
  <c r="I93" i="1" s="1"/>
  <c r="B93" i="1"/>
  <c r="D93" i="1" s="1"/>
  <c r="G92" i="1"/>
  <c r="I92" i="1" s="1"/>
  <c r="B92" i="1"/>
  <c r="D92" i="1" s="1"/>
  <c r="G91" i="1"/>
  <c r="I91" i="1" s="1"/>
  <c r="B91" i="1"/>
  <c r="D91" i="1" s="1"/>
  <c r="D89" i="1"/>
  <c r="I89" i="1" s="1"/>
  <c r="G88" i="1"/>
  <c r="B88" i="1"/>
  <c r="C85" i="1"/>
  <c r="G84" i="1"/>
  <c r="I84" i="1" s="1"/>
  <c r="B84" i="1"/>
  <c r="D84" i="1" s="1"/>
  <c r="G83" i="1"/>
  <c r="I83" i="1" s="1"/>
  <c r="B83" i="1"/>
  <c r="D83" i="1" s="1"/>
  <c r="G82" i="1"/>
  <c r="I82" i="1" s="1"/>
  <c r="B82" i="1"/>
  <c r="D82" i="1" s="1"/>
  <c r="G81" i="1"/>
  <c r="I81" i="1" s="1"/>
  <c r="B81" i="1"/>
  <c r="D81" i="1" s="1"/>
  <c r="G80" i="1"/>
  <c r="I80" i="1" s="1"/>
  <c r="B80" i="1"/>
  <c r="D80" i="1" s="1"/>
  <c r="G79" i="1"/>
  <c r="I79" i="1" s="1"/>
  <c r="B79" i="1"/>
  <c r="D79" i="1" s="1"/>
  <c r="D77" i="1"/>
  <c r="I77" i="1" s="1"/>
  <c r="G76" i="1"/>
  <c r="B76" i="1"/>
  <c r="B60" i="1"/>
  <c r="D60" i="1" s="1"/>
  <c r="B59" i="1"/>
  <c r="D59" i="1" s="1"/>
  <c r="B58" i="1"/>
  <c r="D58" i="1" s="1"/>
  <c r="B57" i="1"/>
  <c r="D57" i="1" s="1"/>
  <c r="B56" i="1"/>
  <c r="D56" i="1" s="1"/>
  <c r="B55" i="1"/>
  <c r="D55" i="1" s="1"/>
  <c r="D53" i="1"/>
  <c r="B52" i="1"/>
  <c r="H49" i="1"/>
  <c r="C49" i="1"/>
  <c r="G48" i="1"/>
  <c r="I48" i="1" s="1"/>
  <c r="B48" i="1"/>
  <c r="D48" i="1" s="1"/>
  <c r="G47" i="1"/>
  <c r="I47" i="1" s="1"/>
  <c r="B47" i="1"/>
  <c r="D47" i="1" s="1"/>
  <c r="G46" i="1"/>
  <c r="I46" i="1" s="1"/>
  <c r="B46" i="1"/>
  <c r="D46" i="1" s="1"/>
  <c r="G45" i="1"/>
  <c r="I45" i="1" s="1"/>
  <c r="B45" i="1"/>
  <c r="D45" i="1" s="1"/>
  <c r="G44" i="1"/>
  <c r="I44" i="1" s="1"/>
  <c r="B44" i="1"/>
  <c r="D44" i="1" s="1"/>
  <c r="G43" i="1"/>
  <c r="I43" i="1" s="1"/>
  <c r="B43" i="1"/>
  <c r="D43" i="1" s="1"/>
  <c r="D41" i="1"/>
  <c r="I41" i="1" s="1"/>
  <c r="G40" i="1"/>
  <c r="B40" i="1"/>
  <c r="C37" i="1"/>
  <c r="G36" i="1"/>
  <c r="I36" i="1" s="1"/>
  <c r="B36" i="1"/>
  <c r="D36" i="1" s="1"/>
  <c r="G35" i="1"/>
  <c r="I35" i="1" s="1"/>
  <c r="B35" i="1"/>
  <c r="D35" i="1" s="1"/>
  <c r="G34" i="1"/>
  <c r="I34" i="1" s="1"/>
  <c r="B34" i="1"/>
  <c r="D34" i="1" s="1"/>
  <c r="G33" i="1"/>
  <c r="I33" i="1" s="1"/>
  <c r="B33" i="1"/>
  <c r="D33" i="1" s="1"/>
  <c r="G32" i="1"/>
  <c r="I32" i="1" s="1"/>
  <c r="B32" i="1"/>
  <c r="D32" i="1" s="1"/>
  <c r="G31" i="1"/>
  <c r="I31" i="1" s="1"/>
  <c r="B31" i="1"/>
  <c r="D31" i="1" s="1"/>
  <c r="D29" i="1"/>
  <c r="I29" i="1" s="1"/>
  <c r="G28" i="1"/>
  <c r="B28" i="1"/>
  <c r="G52" i="1"/>
  <c r="G55" i="1"/>
  <c r="I55" i="1" s="1"/>
  <c r="G56" i="1"/>
  <c r="I56" i="1"/>
  <c r="G57" i="1"/>
  <c r="I57" i="1"/>
  <c r="G58" i="1"/>
  <c r="I58" i="1" s="1"/>
  <c r="G59" i="1"/>
  <c r="I59" i="1"/>
  <c r="G60" i="1"/>
  <c r="I60" i="1"/>
  <c r="H61" i="1"/>
  <c r="B64" i="1"/>
  <c r="G64" i="1"/>
  <c r="B67" i="1"/>
  <c r="D67" i="1" s="1"/>
  <c r="G67" i="1"/>
  <c r="I67" i="1" s="1"/>
  <c r="B68" i="1"/>
  <c r="D68" i="1" s="1"/>
  <c r="G68" i="1"/>
  <c r="I68" i="1" s="1"/>
  <c r="D69" i="1"/>
  <c r="G69" i="1"/>
  <c r="I69" i="1" s="1"/>
  <c r="B70" i="1"/>
  <c r="D70" i="1" s="1"/>
  <c r="G70" i="1"/>
  <c r="I70" i="1"/>
  <c r="B71" i="1"/>
  <c r="D71" i="1"/>
  <c r="G71" i="1"/>
  <c r="I71" i="1" s="1"/>
  <c r="B72" i="1"/>
  <c r="D72" i="1"/>
  <c r="G72" i="1"/>
  <c r="I72" i="1"/>
  <c r="C73" i="1"/>
  <c r="H73" i="1"/>
  <c r="B10" i="2"/>
  <c r="B9" i="2"/>
  <c r="B8" i="2"/>
  <c r="B7" i="2"/>
  <c r="B6" i="2"/>
  <c r="B5" i="2"/>
  <c r="C10" i="2"/>
  <c r="C9" i="2"/>
  <c r="C8" i="2"/>
  <c r="C7" i="2"/>
  <c r="C6" i="2"/>
  <c r="C5" i="2"/>
  <c r="I17" i="1"/>
  <c r="D17" i="1"/>
  <c r="I5" i="1"/>
  <c r="H25" i="1"/>
  <c r="C25" i="1"/>
  <c r="G24" i="1"/>
  <c r="I24" i="1" s="1"/>
  <c r="B24" i="1"/>
  <c r="D24" i="1" s="1"/>
  <c r="G23" i="1"/>
  <c r="I23" i="1" s="1"/>
  <c r="B23" i="1"/>
  <c r="D23" i="1" s="1"/>
  <c r="G22" i="1"/>
  <c r="I22" i="1" s="1"/>
  <c r="B22" i="1"/>
  <c r="D22" i="1" s="1"/>
  <c r="G21" i="1"/>
  <c r="I21" i="1" s="1"/>
  <c r="B21" i="1"/>
  <c r="D21" i="1" s="1"/>
  <c r="G20" i="1"/>
  <c r="I20" i="1" s="1"/>
  <c r="B20" i="1"/>
  <c r="D20" i="1" s="1"/>
  <c r="G19" i="1"/>
  <c r="I19" i="1" s="1"/>
  <c r="B19" i="1"/>
  <c r="D19" i="1" s="1"/>
  <c r="G16" i="1"/>
  <c r="B16" i="1"/>
  <c r="H13" i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B12" i="1"/>
  <c r="D12" i="1" s="1"/>
  <c r="B11" i="1"/>
  <c r="D11" i="1" s="1"/>
  <c r="B10" i="1"/>
  <c r="D10" i="1" s="1"/>
  <c r="B9" i="1"/>
  <c r="D9" i="1" s="1"/>
  <c r="B8" i="1"/>
  <c r="D8" i="1" s="1"/>
  <c r="B7" i="1"/>
  <c r="D7" i="1" s="1"/>
  <c r="D6" i="2" l="1"/>
  <c r="D10" i="2"/>
  <c r="D7" i="2"/>
  <c r="D85" i="1"/>
  <c r="D86" i="1" s="1"/>
  <c r="C86" i="1" s="1"/>
  <c r="B86" i="1" s="1"/>
  <c r="I145" i="1"/>
  <c r="I146" i="1" s="1"/>
  <c r="H146" i="1" s="1"/>
  <c r="G146" i="1" s="1"/>
  <c r="D9" i="2"/>
  <c r="D8" i="2"/>
  <c r="I169" i="1"/>
  <c r="I170" i="1" s="1"/>
  <c r="H170" i="1" s="1"/>
  <c r="G170" i="1" s="1"/>
  <c r="D73" i="1"/>
  <c r="D74" i="1" s="1"/>
  <c r="C74" i="1" s="1"/>
  <c r="B74" i="1" s="1"/>
  <c r="D5" i="2"/>
  <c r="I73" i="1"/>
  <c r="I74" i="1" s="1"/>
  <c r="H74" i="1" s="1"/>
  <c r="G74" i="1" s="1"/>
  <c r="I181" i="1"/>
  <c r="I182" i="1" s="1"/>
  <c r="H182" i="1" s="1"/>
  <c r="G182" i="1" s="1"/>
  <c r="D133" i="1"/>
  <c r="D134" i="1" s="1"/>
  <c r="C134" i="1" s="1"/>
  <c r="B134" i="1" s="1"/>
  <c r="I121" i="1"/>
  <c r="I122" i="1" s="1"/>
  <c r="H122" i="1" s="1"/>
  <c r="G122" i="1" s="1"/>
  <c r="D109" i="1"/>
  <c r="D110" i="1" s="1"/>
  <c r="C110" i="1" s="1"/>
  <c r="B110" i="1" s="1"/>
  <c r="I109" i="1"/>
  <c r="I110" i="1" s="1"/>
  <c r="H110" i="1" s="1"/>
  <c r="G110" i="1" s="1"/>
  <c r="I85" i="1"/>
  <c r="I86" i="1" s="1"/>
  <c r="H86" i="1" s="1"/>
  <c r="G86" i="1" s="1"/>
  <c r="I61" i="1"/>
  <c r="I62" i="1" s="1"/>
  <c r="H62" i="1" s="1"/>
  <c r="G62" i="1" s="1"/>
  <c r="D181" i="1"/>
  <c r="D182" i="1" s="1"/>
  <c r="C182" i="1" s="1"/>
  <c r="B182" i="1" s="1"/>
  <c r="D169" i="1"/>
  <c r="D170" i="1" s="1"/>
  <c r="C170" i="1" s="1"/>
  <c r="B170" i="1" s="1"/>
  <c r="D157" i="1"/>
  <c r="D158" i="1" s="1"/>
  <c r="C158" i="1" s="1"/>
  <c r="B158" i="1" s="1"/>
  <c r="I157" i="1"/>
  <c r="I158" i="1" s="1"/>
  <c r="H158" i="1" s="1"/>
  <c r="G158" i="1" s="1"/>
  <c r="D145" i="1"/>
  <c r="D146" i="1" s="1"/>
  <c r="C146" i="1" s="1"/>
  <c r="B146" i="1" s="1"/>
  <c r="I133" i="1"/>
  <c r="I134" i="1" s="1"/>
  <c r="H134" i="1" s="1"/>
  <c r="G134" i="1" s="1"/>
  <c r="D121" i="1"/>
  <c r="D122" i="1" s="1"/>
  <c r="C122" i="1" s="1"/>
  <c r="B122" i="1" s="1"/>
  <c r="D97" i="1"/>
  <c r="D98" i="1" s="1"/>
  <c r="C98" i="1" s="1"/>
  <c r="B98" i="1" s="1"/>
  <c r="I97" i="1"/>
  <c r="I98" i="1" s="1"/>
  <c r="H98" i="1" s="1"/>
  <c r="G98" i="1" s="1"/>
  <c r="D61" i="1"/>
  <c r="D62" i="1" s="1"/>
  <c r="C62" i="1" s="1"/>
  <c r="B62" i="1" s="1"/>
  <c r="D49" i="1"/>
  <c r="D50" i="1" s="1"/>
  <c r="C50" i="1" s="1"/>
  <c r="B50" i="1" s="1"/>
  <c r="I49" i="1"/>
  <c r="I50" i="1" s="1"/>
  <c r="H50" i="1" s="1"/>
  <c r="G50" i="1" s="1"/>
  <c r="I53" i="1"/>
  <c r="D65" i="1" s="1"/>
  <c r="I65" i="1" s="1"/>
  <c r="D37" i="1"/>
  <c r="D38" i="1" s="1"/>
  <c r="C38" i="1" s="1"/>
  <c r="B38" i="1" s="1"/>
  <c r="I37" i="1"/>
  <c r="I38" i="1" s="1"/>
  <c r="H38" i="1" s="1"/>
  <c r="G38" i="1" s="1"/>
  <c r="D25" i="1"/>
  <c r="D26" i="1" s="1"/>
  <c r="C26" i="1" s="1"/>
  <c r="B26" i="1" s="1"/>
  <c r="B13" i="2"/>
  <c r="I25" i="1"/>
  <c r="I26" i="1" s="1"/>
  <c r="H26" i="1" s="1"/>
  <c r="G26" i="1" s="1"/>
  <c r="D13" i="1"/>
  <c r="D14" i="1" s="1"/>
  <c r="C14" i="1" s="1"/>
  <c r="B14" i="1" s="1"/>
  <c r="I13" i="1"/>
  <c r="I14" i="1" s="1"/>
  <c r="H14" i="1" s="1"/>
  <c r="G14" i="1" s="1"/>
  <c r="B11" i="2" l="1"/>
  <c r="D11" i="2"/>
  <c r="D13" i="2" s="1"/>
  <c r="D15" i="2" s="1"/>
</calcChain>
</file>

<file path=xl/comments1.xml><?xml version="1.0" encoding="utf-8"?>
<comments xmlns="http://schemas.openxmlformats.org/spreadsheetml/2006/main">
  <authors>
    <author>OWNER</author>
  </authors>
  <commentList>
    <comment ref="A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日付を入力</t>
        </r>
      </text>
    </comment>
    <comment ref="E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変動したら値段を変更してください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お客様の氏名入力</t>
        </r>
      </text>
    </comment>
    <comment ref="C1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切り上げた金額</t>
        </r>
      </text>
    </comment>
  </commentList>
</comments>
</file>

<file path=xl/sharedStrings.xml><?xml version="1.0" encoding="utf-8"?>
<sst xmlns="http://schemas.openxmlformats.org/spreadsheetml/2006/main" count="270" uniqueCount="32">
  <si>
    <t>タケノコ買取　受付表</t>
    <rPh sb="4" eb="6">
      <t>カイトリ</t>
    </rPh>
    <rPh sb="7" eb="9">
      <t>ウケツケ</t>
    </rPh>
    <rPh sb="9" eb="10">
      <t>ヒョウ</t>
    </rPh>
    <phoneticPr fontId="2"/>
  </si>
  <si>
    <t>規格対応表</t>
    <rPh sb="0" eb="2">
      <t>キカク</t>
    </rPh>
    <rPh sb="2" eb="4">
      <t>タイオウ</t>
    </rPh>
    <rPh sb="4" eb="5">
      <t>ヒョウ</t>
    </rPh>
    <phoneticPr fontId="2"/>
  </si>
  <si>
    <t>キズ</t>
    <phoneticPr fontId="2"/>
  </si>
  <si>
    <t>規格（品名）</t>
    <rPh sb="0" eb="2">
      <t>キカク</t>
    </rPh>
    <rPh sb="3" eb="5">
      <t>ヒンメイ</t>
    </rPh>
    <phoneticPr fontId="2"/>
  </si>
  <si>
    <t>氏名</t>
    <rPh sb="0" eb="2">
      <t>シメイ</t>
    </rPh>
    <phoneticPr fontId="2"/>
  </si>
  <si>
    <t>重さ（Kg）</t>
    <rPh sb="0" eb="1">
      <t>オモ</t>
    </rPh>
    <phoneticPr fontId="2"/>
  </si>
  <si>
    <t>値段（円/Kg）</t>
    <rPh sb="0" eb="2">
      <t>ネダン</t>
    </rPh>
    <rPh sb="3" eb="4">
      <t>エン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</si>
  <si>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</si>
  <si>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</si>
  <si>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日付</t>
    <rPh sb="0" eb="2">
      <t>ヒヅケ</t>
    </rPh>
    <phoneticPr fontId="2"/>
  </si>
  <si>
    <t>納品書</t>
    <rPh sb="0" eb="3">
      <t>ノウヒンショ</t>
    </rPh>
    <phoneticPr fontId="2"/>
  </si>
  <si>
    <t>品名</t>
    <rPh sb="0" eb="2">
      <t>ヒンメイ</t>
    </rPh>
    <phoneticPr fontId="2"/>
  </si>
  <si>
    <t>数量</t>
    <rPh sb="0" eb="2">
      <t>スウリョウ</t>
    </rPh>
    <phoneticPr fontId="2"/>
  </si>
  <si>
    <t>単価</t>
    <rPh sb="0" eb="2">
      <t>タンカ</t>
    </rPh>
    <phoneticPr fontId="2"/>
  </si>
  <si>
    <t>金額</t>
    <rPh sb="0" eb="2">
      <t>キンガク</t>
    </rPh>
    <phoneticPr fontId="2"/>
  </si>
  <si>
    <t>調整</t>
    <rPh sb="0" eb="2">
      <t>チョウセイ</t>
    </rPh>
    <phoneticPr fontId="2"/>
  </si>
  <si>
    <t>残金</t>
    <rPh sb="0" eb="2">
      <t>ザンキン</t>
    </rPh>
    <phoneticPr fontId="2"/>
  </si>
  <si>
    <t>前日残金</t>
    <rPh sb="0" eb="2">
      <t>ゼンジツ</t>
    </rPh>
    <rPh sb="2" eb="4">
      <t>ザンキン</t>
    </rPh>
    <phoneticPr fontId="2"/>
  </si>
  <si>
    <t>値段（円/Kg）</t>
  </si>
  <si>
    <t>バショウ</t>
    <phoneticPr fontId="2"/>
  </si>
  <si>
    <t>ハナゾノ</t>
    <phoneticPr fontId="2"/>
  </si>
  <si>
    <t>コウライ</t>
    <phoneticPr fontId="2"/>
  </si>
  <si>
    <t>タケノシタ</t>
    <phoneticPr fontId="2"/>
  </si>
  <si>
    <t>エガワノ</t>
    <phoneticPr fontId="2"/>
  </si>
  <si>
    <t>イケシタ</t>
    <phoneticPr fontId="2"/>
  </si>
  <si>
    <t>]</t>
    <phoneticPr fontId="2"/>
  </si>
  <si>
    <t>クロイシ</t>
    <phoneticPr fontId="2"/>
  </si>
  <si>
    <t>カンダ</t>
    <phoneticPr fontId="2"/>
  </si>
  <si>
    <t>オオサコ</t>
    <phoneticPr fontId="2"/>
  </si>
  <si>
    <t>クリゲノ</t>
    <phoneticPr fontId="2"/>
  </si>
  <si>
    <t>イノウエ</t>
    <phoneticPr fontId="2"/>
  </si>
  <si>
    <t>イワシタ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</si>
</sst>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¥&quot;#,##0;[Red]&quot;¥&quot;\-#,##0"/>
    <numFmt numFmtId="176" formatCode="[$-F800]dddd\,\ mmmm\ dd\,\ yyyy"/>
    <numFmt numFmtId="177" formatCode="#,##0.0&quot;Kg&quot;"/>
    <numFmt numFmtId="178" formatCode="#,##&quot;No.&quot;0"/>
    <numFmt numFmtId="179" formatCode="##,#&quot;No.&quot;00"/>
  </numFmts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6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left" vertical="center"/>
    </xf>
    <xf numFmtId="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6" fontId="0" fillId="0" borderId="2" xfId="1" applyFont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4" fontId="0" fillId="2" borderId="0" xfId="0" applyNumberFormat="1" applyFill="1">
      <alignment vertical="center"/>
    </xf>
    <xf numFmtId="6" fontId="3" fillId="4" borderId="3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6" fillId="0" borderId="0" xfId="0" applyFont="1">
      <alignment vertical="center"/>
    </xf>
    <xf numFmtId="6" fontId="0" fillId="0" borderId="1" xfId="0" applyNumberFormat="1" applyBorder="1">
      <alignment vertical="center"/>
    </xf>
    <xf numFmtId="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177" fontId="0" fillId="0" borderId="5" xfId="0" applyNumberFormat="1" applyBorder="1">
      <alignment vertical="center"/>
    </xf>
    <xf numFmtId="6" fontId="0" fillId="0" borderId="6" xfId="1" applyFont="1" applyBorder="1">
      <alignment vertical="center"/>
    </xf>
    <xf numFmtId="6" fontId="0" fillId="3" borderId="1" xfId="1" applyFont="1" applyFill="1" applyBorder="1" applyAlignment="1">
      <alignment horizontal="center" vertical="center"/>
    </xf>
    <xf numFmtId="6" fontId="0" fillId="2" borderId="0" xfId="1" applyFont="1" applyFill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285750</xdr:rowOff>
        </xdr:from>
        <xdr:to>
          <xdr:col>1</xdr:col>
          <xdr:colOff>981075</xdr:colOff>
          <xdr:row>1</xdr:row>
          <xdr:rowOff>209550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82"/>
  <sheetViews>
    <sheetView tabSelected="1" workbookViewId="0">
      <pane ySplit="2" topLeftCell="A63" activePane="bottomLeft" state="frozen"/>
      <selection pane="bottomLeft" activeCell="H74" sqref="H74"/>
    </sheetView>
  </sheetViews>
  <sheetFormatPr defaultRowHeight="18.75"/>
  <cols>
    <col min="1" max="4" width="15.375" customWidth="1"/>
    <col min="5" max="5" width="11.75" customWidth="1"/>
    <col min="6" max="14" width="15.375" customWidth="1"/>
  </cols>
  <sheetData>
    <row r="1" spans="1:10" ht="25.5">
      <c r="A1" s="1" t="s">
        <v>0</v>
      </c>
      <c r="C1" s="28" t="s">
        <v>1</v>
      </c>
      <c r="D1" s="3" t="s">
        <v>3</v>
      </c>
      <c r="E1" s="3">
        <v>1</v>
      </c>
      <c r="F1" s="3">
        <v>2</v>
      </c>
      <c r="G1" s="3">
        <v>3</v>
      </c>
      <c r="H1" s="3">
        <v>4</v>
      </c>
      <c r="I1" s="3">
        <v>5</v>
      </c>
      <c r="J1" s="3" t="s">
        <v>2</v>
      </c>
    </row>
    <row r="2" spans="1:10">
      <c r="A2" s="15">
        <v>45774</v>
      </c>
      <c r="C2" s="28"/>
      <c r="D2" s="3" t="s">
        <v>6</v>
      </c>
      <c r="E2" s="26">
        <v>200</v>
      </c>
      <c r="F2" s="26">
        <v>200</v>
      </c>
      <c r="G2" s="26">
        <v>100</v>
      </c>
      <c r="H2" s="26">
        <v>80</v>
      </c>
      <c r="I2" s="26">
        <v>60</v>
      </c>
      <c r="J2" s="26">
        <v>50</v>
      </c>
    </row>
    <row r="4" spans="1:10">
      <c r="A4" s="6" t="s">
        <v>9</v>
      </c>
      <c r="B4" s="8">
        <v>45774</v>
      </c>
      <c r="C4" s="2"/>
      <c r="D4" s="2"/>
      <c r="F4" s="6" t="s">
        <v>9</v>
      </c>
      <c r="G4" s="8">
        <v>45774</v>
      </c>
      <c r="H4" s="2"/>
      <c r="I4" s="2"/>
    </row>
    <row r="5" spans="1:10">
      <c r="A5" s="7" t="s">
        <v>4</v>
      </c>
      <c r="B5" s="14" t="s">
        <v>19</v>
      </c>
      <c r="C5" s="2"/>
      <c r="D5" s="17">
        <v>1</v>
      </c>
      <c r="F5" s="7" t="s">
        <v>4</v>
      </c>
      <c r="G5" s="14" t="s">
        <v>20</v>
      </c>
      <c r="H5" s="2"/>
      <c r="I5" s="17">
        <f>D5+1</f>
        <v>2</v>
      </c>
    </row>
    <row r="6" spans="1:10">
      <c r="A6" s="3" t="s">
        <v>3</v>
      </c>
      <c r="B6" s="3" t="s">
        <v>6</v>
      </c>
      <c r="C6" s="3" t="s">
        <v>5</v>
      </c>
      <c r="D6" s="3" t="s">
        <v>7</v>
      </c>
      <c r="F6" s="3" t="s">
        <v>3</v>
      </c>
      <c r="G6" s="3" t="s">
        <v>6</v>
      </c>
      <c r="H6" s="3" t="s">
        <v>5</v>
      </c>
      <c r="I6" s="3" t="s">
        <v>7</v>
      </c>
    </row>
    <row r="7" spans="1:10">
      <c r="A7" s="3">
        <v>1</v>
      </c>
      <c r="B7" s="9">
        <f>$E$2</f>
        <v>200</v>
      </c>
      <c r="C7" s="13">
        <v>29.8</v>
      </c>
      <c r="D7" s="5">
        <f>B7*C7</f>
        <v>5960</v>
      </c>
      <c r="F7" s="3">
        <v>1</v>
      </c>
      <c r="G7" s="9">
        <f>$E$2</f>
        <v>200</v>
      </c>
      <c r="H7" s="13">
        <v>45.7</v>
      </c>
      <c r="I7" s="5">
        <f>G7*H7</f>
        <v>9140</v>
      </c>
    </row>
    <row r="8" spans="1:10">
      <c r="A8" s="3">
        <v>2</v>
      </c>
      <c r="B8" s="9">
        <f>$F$2</f>
        <v>200</v>
      </c>
      <c r="C8" s="13">
        <v>5.7</v>
      </c>
      <c r="D8" s="5">
        <f t="shared" ref="D8:D12" si="0">B8*C8</f>
        <v>1140</v>
      </c>
      <c r="F8" s="3">
        <v>2</v>
      </c>
      <c r="G8" s="9">
        <f>$F$2</f>
        <v>200</v>
      </c>
      <c r="H8" s="13">
        <v>14.4</v>
      </c>
      <c r="I8" s="5">
        <f t="shared" ref="I8:I12" si="1">G8*H8</f>
        <v>2880</v>
      </c>
    </row>
    <row r="9" spans="1:10">
      <c r="A9" s="3">
        <v>3</v>
      </c>
      <c r="B9" s="9">
        <f>$G$2</f>
        <v>100</v>
      </c>
      <c r="C9" s="13">
        <v>12.5</v>
      </c>
      <c r="D9" s="5">
        <f t="shared" si="0"/>
        <v>1250</v>
      </c>
      <c r="F9" s="3">
        <v>3</v>
      </c>
      <c r="G9" s="9">
        <f>$G$2</f>
        <v>100</v>
      </c>
      <c r="H9" s="13"/>
      <c r="I9" s="5">
        <f t="shared" si="1"/>
        <v>0</v>
      </c>
    </row>
    <row r="10" spans="1:10">
      <c r="A10" s="3">
        <v>4</v>
      </c>
      <c r="B10" s="9">
        <f>$H$2</f>
        <v>80</v>
      </c>
      <c r="C10" s="13">
        <v>2.2000000000000002</v>
      </c>
      <c r="D10" s="5">
        <f t="shared" si="0"/>
        <v>176</v>
      </c>
      <c r="F10" s="3">
        <v>4</v>
      </c>
      <c r="G10" s="9">
        <f>$H$2</f>
        <v>80</v>
      </c>
      <c r="H10" s="13"/>
      <c r="I10" s="5">
        <f t="shared" si="1"/>
        <v>0</v>
      </c>
    </row>
    <row r="11" spans="1:10">
      <c r="A11" s="3">
        <v>5</v>
      </c>
      <c r="B11" s="9">
        <f>$I$2</f>
        <v>60</v>
      </c>
      <c r="C11" s="13"/>
      <c r="D11" s="5">
        <f t="shared" si="0"/>
        <v>0</v>
      </c>
      <c r="F11" s="3">
        <v>5</v>
      </c>
      <c r="G11" s="9">
        <f>$I$2</f>
        <v>60</v>
      </c>
      <c r="H11" s="13"/>
      <c r="I11" s="5">
        <f t="shared" si="1"/>
        <v>0</v>
      </c>
    </row>
    <row r="12" spans="1:10">
      <c r="A12" s="3" t="s">
        <v>2</v>
      </c>
      <c r="B12" s="9">
        <f>$J$2</f>
        <v>50</v>
      </c>
      <c r="C12" s="13">
        <v>66.400000000000006</v>
      </c>
      <c r="D12" s="5">
        <f t="shared" si="0"/>
        <v>3320.0000000000005</v>
      </c>
      <c r="F12" s="3" t="s">
        <v>2</v>
      </c>
      <c r="G12" s="9">
        <f>$J$2</f>
        <v>50</v>
      </c>
      <c r="H12" s="13">
        <v>157.9</v>
      </c>
      <c r="I12" s="5">
        <f t="shared" si="1"/>
        <v>7895</v>
      </c>
    </row>
    <row r="13" spans="1:10" ht="19.5" thickBot="1">
      <c r="A13" s="3"/>
      <c r="B13" s="3" t="s">
        <v>8</v>
      </c>
      <c r="C13" s="10">
        <f>SUM(C7:C12)</f>
        <v>116.60000000000001</v>
      </c>
      <c r="D13" s="11">
        <f>SUM(D7:D12)</f>
        <v>11846</v>
      </c>
      <c r="F13" s="3"/>
      <c r="G13" s="3" t="s">
        <v>8</v>
      </c>
      <c r="H13" s="10">
        <f>SUM(H7:H12)</f>
        <v>218</v>
      </c>
      <c r="I13" s="11">
        <f>SUM(I7:I12)</f>
        <v>19915</v>
      </c>
    </row>
    <row r="14" spans="1:10" ht="20.25" thickBot="1">
      <c r="B14" t="str">
        <f>IF(C14&gt;0,"調整あり","")</f>
        <v>調整あり</v>
      </c>
      <c r="C14" s="12">
        <f>D14-D13</f>
        <v>4</v>
      </c>
      <c r="D14" s="16">
        <f>ROUNDUP(D13,-1)</f>
        <v>11850</v>
      </c>
      <c r="G14" t="str">
        <f>IF(H14&gt;0,"調整あり","")</f>
        <v>調整あり</v>
      </c>
      <c r="H14" s="12">
        <f>I14-I13</f>
        <v>5</v>
      </c>
      <c r="I14" s="16">
        <f>ROUNDUP(I13,-1)</f>
        <v>19920</v>
      </c>
    </row>
    <row r="15" spans="1:10">
      <c r="D15" s="12"/>
    </row>
    <row r="16" spans="1:10">
      <c r="A16" s="6" t="s">
        <v>9</v>
      </c>
      <c r="B16" s="8">
        <f>$A$2</f>
        <v>45774</v>
      </c>
      <c r="C16" s="2"/>
      <c r="D16" s="2"/>
      <c r="F16" s="6" t="s">
        <v>9</v>
      </c>
      <c r="G16" s="8">
        <f>$A$2</f>
        <v>45774</v>
      </c>
      <c r="H16" s="2"/>
      <c r="I16" s="2"/>
    </row>
    <row r="17" spans="1:9">
      <c r="A17" s="7" t="s">
        <v>4</v>
      </c>
      <c r="B17" s="14" t="s">
        <v>21</v>
      </c>
      <c r="C17" s="2"/>
      <c r="D17" s="17">
        <f>I5+1</f>
        <v>3</v>
      </c>
      <c r="F17" s="7" t="s">
        <v>4</v>
      </c>
      <c r="G17" s="14" t="s">
        <v>22</v>
      </c>
      <c r="H17" s="2"/>
      <c r="I17" s="17">
        <f>D17+1</f>
        <v>4</v>
      </c>
    </row>
    <row r="18" spans="1:9">
      <c r="A18" s="3" t="s">
        <v>3</v>
      </c>
      <c r="B18" s="3" t="s">
        <v>6</v>
      </c>
      <c r="C18" s="3" t="s">
        <v>5</v>
      </c>
      <c r="D18" s="3" t="s">
        <v>7</v>
      </c>
      <c r="F18" s="3" t="s">
        <v>3</v>
      </c>
      <c r="G18" s="3" t="s">
        <v>6</v>
      </c>
      <c r="H18" s="3" t="s">
        <v>5</v>
      </c>
      <c r="I18" s="3" t="s">
        <v>7</v>
      </c>
    </row>
    <row r="19" spans="1:9">
      <c r="A19" s="3">
        <v>1</v>
      </c>
      <c r="B19" s="9">
        <f>$E$2</f>
        <v>200</v>
      </c>
      <c r="C19" s="13">
        <v>40.700000000000003</v>
      </c>
      <c r="D19" s="5">
        <f>B19*C19</f>
        <v>8140.0000000000009</v>
      </c>
      <c r="F19" s="3">
        <v>1</v>
      </c>
      <c r="G19" s="9">
        <f>$E$2</f>
        <v>200</v>
      </c>
      <c r="H19" s="13">
        <v>40.6</v>
      </c>
      <c r="I19" s="5">
        <f>G19*H19</f>
        <v>8120</v>
      </c>
    </row>
    <row r="20" spans="1:9">
      <c r="A20" s="3">
        <v>2</v>
      </c>
      <c r="B20" s="9">
        <f>$F$2</f>
        <v>200</v>
      </c>
      <c r="C20" s="13">
        <v>8.6999999999999993</v>
      </c>
      <c r="D20" s="5">
        <f t="shared" ref="D20:D23" si="2">B20*C20</f>
        <v>1739.9999999999998</v>
      </c>
      <c r="F20" s="3">
        <v>2</v>
      </c>
      <c r="G20" s="9">
        <f>$F$2</f>
        <v>200</v>
      </c>
      <c r="H20" s="13"/>
      <c r="I20" s="5">
        <f t="shared" ref="I20:I23" si="3">G20*H20</f>
        <v>0</v>
      </c>
    </row>
    <row r="21" spans="1:9">
      <c r="A21" s="3">
        <v>3</v>
      </c>
      <c r="B21" s="9">
        <f>$G$2</f>
        <v>100</v>
      </c>
      <c r="C21" s="13">
        <v>12.9</v>
      </c>
      <c r="D21" s="5">
        <f t="shared" si="2"/>
        <v>1290</v>
      </c>
      <c r="F21" s="3">
        <v>3</v>
      </c>
      <c r="G21" s="9">
        <f>$G$2</f>
        <v>100</v>
      </c>
      <c r="H21" s="13">
        <v>24.5</v>
      </c>
      <c r="I21" s="5">
        <f t="shared" si="3"/>
        <v>2450</v>
      </c>
    </row>
    <row r="22" spans="1:9">
      <c r="A22" s="3">
        <v>4</v>
      </c>
      <c r="B22" s="9">
        <f>$H$2</f>
        <v>80</v>
      </c>
      <c r="C22" s="13">
        <v>2.8</v>
      </c>
      <c r="D22" s="5">
        <f t="shared" si="2"/>
        <v>224</v>
      </c>
      <c r="F22" s="3">
        <v>4</v>
      </c>
      <c r="G22" s="9">
        <f>$H$2</f>
        <v>80</v>
      </c>
      <c r="H22" s="13"/>
      <c r="I22" s="5">
        <f t="shared" si="3"/>
        <v>0</v>
      </c>
    </row>
    <row r="23" spans="1:9">
      <c r="A23" s="3">
        <v>5</v>
      </c>
      <c r="B23" s="9">
        <f>$I$2</f>
        <v>60</v>
      </c>
      <c r="C23" s="13"/>
      <c r="D23" s="5">
        <f t="shared" si="2"/>
        <v>0</v>
      </c>
      <c r="F23" s="3">
        <v>5</v>
      </c>
      <c r="G23" s="9">
        <f>$I$2</f>
        <v>60</v>
      </c>
      <c r="H23" s="13"/>
      <c r="I23" s="5">
        <f t="shared" si="3"/>
        <v>0</v>
      </c>
    </row>
    <row r="24" spans="1:9">
      <c r="A24" s="3" t="s">
        <v>2</v>
      </c>
      <c r="B24" s="9">
        <f>$J$2</f>
        <v>50</v>
      </c>
      <c r="C24" s="13">
        <v>8.9</v>
      </c>
      <c r="D24" s="5">
        <f>B24*C24</f>
        <v>445</v>
      </c>
      <c r="F24" s="3" t="s">
        <v>2</v>
      </c>
      <c r="G24" s="9">
        <f>$J$2</f>
        <v>50</v>
      </c>
      <c r="H24" s="13">
        <v>61.7</v>
      </c>
      <c r="I24" s="5">
        <f>G24*H24</f>
        <v>3085</v>
      </c>
    </row>
    <row r="25" spans="1:9" ht="19.5" thickBot="1">
      <c r="A25" s="3"/>
      <c r="B25" s="3" t="s">
        <v>8</v>
      </c>
      <c r="C25" s="10">
        <f>SUM(C19:C24)</f>
        <v>74.000000000000014</v>
      </c>
      <c r="D25" s="11">
        <f>SUM(D19:D24)</f>
        <v>11839</v>
      </c>
      <c r="F25" s="3"/>
      <c r="G25" s="3" t="s">
        <v>8</v>
      </c>
      <c r="H25" s="10">
        <f>SUM(H19:H24)</f>
        <v>126.8</v>
      </c>
      <c r="I25" s="11">
        <f>SUM(I19:I24)</f>
        <v>13655</v>
      </c>
    </row>
    <row r="26" spans="1:9" ht="20.25" thickBot="1">
      <c r="B26" t="str">
        <f>IF(C26&gt;0,"調整あり","")</f>
        <v>調整あり</v>
      </c>
      <c r="C26" s="12">
        <f>D26-D25</f>
        <v>1</v>
      </c>
      <c r="D26" s="16">
        <f>ROUNDUP(D25,-1)</f>
        <v>11840</v>
      </c>
      <c r="G26" t="str">
        <f>IF(H26&gt;0,"調整あり","")</f>
        <v>調整あり</v>
      </c>
      <c r="H26" s="12">
        <f>I26-I25</f>
        <v>5</v>
      </c>
      <c r="I26" s="16">
        <f>ROUNDUP(I25,-1)</f>
        <v>13660</v>
      </c>
    </row>
    <row r="28" spans="1:9">
      <c r="A28" s="6" t="s">
        <v>9</v>
      </c>
      <c r="B28" s="8">
        <f>$A$2</f>
        <v>45774</v>
      </c>
      <c r="C28" s="2"/>
      <c r="D28" s="2"/>
      <c r="F28" s="6" t="s">
        <v>9</v>
      </c>
      <c r="G28" s="8">
        <f>$A$2</f>
        <v>45774</v>
      </c>
      <c r="H28" s="2"/>
      <c r="I28" s="2"/>
    </row>
    <row r="29" spans="1:9">
      <c r="A29" s="7" t="s">
        <v>4</v>
      </c>
      <c r="B29" s="14" t="s">
        <v>23</v>
      </c>
      <c r="C29" s="2"/>
      <c r="D29" s="17">
        <f>I17+1</f>
        <v>5</v>
      </c>
      <c r="F29" s="7" t="s">
        <v>4</v>
      </c>
      <c r="G29" s="14" t="s">
        <v>24</v>
      </c>
      <c r="H29" s="2"/>
      <c r="I29" s="17">
        <f>D29+1</f>
        <v>6</v>
      </c>
    </row>
    <row r="30" spans="1:9">
      <c r="A30" s="3" t="s">
        <v>3</v>
      </c>
      <c r="B30" s="3" t="s">
        <v>6</v>
      </c>
      <c r="C30" s="3" t="s">
        <v>5</v>
      </c>
      <c r="D30" s="3" t="s">
        <v>7</v>
      </c>
      <c r="F30" s="3" t="s">
        <v>3</v>
      </c>
      <c r="G30" s="3" t="s">
        <v>6</v>
      </c>
      <c r="H30" s="3" t="s">
        <v>5</v>
      </c>
      <c r="I30" s="3" t="s">
        <v>7</v>
      </c>
    </row>
    <row r="31" spans="1:9">
      <c r="A31" s="3">
        <v>1</v>
      </c>
      <c r="B31" s="9">
        <f>$E$2</f>
        <v>200</v>
      </c>
      <c r="C31" s="13">
        <v>14.2</v>
      </c>
      <c r="D31" s="5">
        <f>B31*C31</f>
        <v>2840</v>
      </c>
      <c r="F31" s="3">
        <v>1</v>
      </c>
      <c r="G31" s="9">
        <f>$E$2</f>
        <v>200</v>
      </c>
      <c r="H31" s="13">
        <v>49</v>
      </c>
      <c r="I31" s="5">
        <f>G31*H31</f>
        <v>9800</v>
      </c>
    </row>
    <row r="32" spans="1:9">
      <c r="A32" s="3">
        <v>2</v>
      </c>
      <c r="B32" s="9">
        <f>$F$2</f>
        <v>200</v>
      </c>
      <c r="C32" s="13">
        <v>12</v>
      </c>
      <c r="D32" s="5">
        <f t="shared" ref="D32:D35" si="4">B32*C32</f>
        <v>2400</v>
      </c>
      <c r="F32" s="3">
        <v>2</v>
      </c>
      <c r="G32" s="9">
        <f>$F$2</f>
        <v>200</v>
      </c>
      <c r="H32" s="13">
        <v>10.9</v>
      </c>
      <c r="I32" s="5">
        <f t="shared" ref="I32:I35" si="5">G32*H32</f>
        <v>2180</v>
      </c>
    </row>
    <row r="33" spans="1:9">
      <c r="A33" s="3">
        <v>3</v>
      </c>
      <c r="B33" s="9">
        <f>$G$2</f>
        <v>100</v>
      </c>
      <c r="C33" s="13">
        <v>3.4</v>
      </c>
      <c r="D33" s="5">
        <f t="shared" si="4"/>
        <v>340</v>
      </c>
      <c r="F33" s="3">
        <v>3</v>
      </c>
      <c r="G33" s="9">
        <f>$G$2</f>
        <v>100</v>
      </c>
      <c r="H33" s="13">
        <v>20.9</v>
      </c>
      <c r="I33" s="5">
        <f t="shared" si="5"/>
        <v>2090</v>
      </c>
    </row>
    <row r="34" spans="1:9">
      <c r="A34" s="3">
        <v>4</v>
      </c>
      <c r="B34" s="9">
        <f>$H$2</f>
        <v>80</v>
      </c>
      <c r="C34" s="13"/>
      <c r="D34" s="5">
        <f t="shared" si="4"/>
        <v>0</v>
      </c>
      <c r="F34" s="3">
        <v>4</v>
      </c>
      <c r="G34" s="9">
        <f>$H$2</f>
        <v>80</v>
      </c>
      <c r="H34" s="13"/>
      <c r="I34" s="5">
        <f t="shared" si="5"/>
        <v>0</v>
      </c>
    </row>
    <row r="35" spans="1:9">
      <c r="A35" s="3">
        <v>5</v>
      </c>
      <c r="B35" s="9">
        <f>$I$2</f>
        <v>60</v>
      </c>
      <c r="C35" s="13"/>
      <c r="D35" s="5">
        <f t="shared" si="4"/>
        <v>0</v>
      </c>
      <c r="F35" s="3">
        <v>5</v>
      </c>
      <c r="G35" s="9">
        <f>$I$2</f>
        <v>60</v>
      </c>
      <c r="H35" s="13"/>
      <c r="I35" s="5">
        <f t="shared" si="5"/>
        <v>0</v>
      </c>
    </row>
    <row r="36" spans="1:9">
      <c r="A36" s="3" t="s">
        <v>2</v>
      </c>
      <c r="B36" s="9">
        <f>$J$2</f>
        <v>50</v>
      </c>
      <c r="C36" s="13"/>
      <c r="D36" s="5">
        <f>B36*C36</f>
        <v>0</v>
      </c>
      <c r="F36" s="3" t="s">
        <v>2</v>
      </c>
      <c r="G36" s="9">
        <f>$J$2</f>
        <v>50</v>
      </c>
      <c r="H36" s="13">
        <v>7.2</v>
      </c>
      <c r="I36" s="5">
        <f>G36*H36</f>
        <v>360</v>
      </c>
    </row>
    <row r="37" spans="1:9" ht="19.5" thickBot="1">
      <c r="A37" s="3"/>
      <c r="B37" s="3" t="s">
        <v>8</v>
      </c>
      <c r="C37" s="10">
        <f>SUM(C31:C36)</f>
        <v>29.599999999999998</v>
      </c>
      <c r="D37" s="11">
        <f>SUM(D31:D36)</f>
        <v>5580</v>
      </c>
      <c r="F37" s="3"/>
      <c r="G37" s="3" t="s">
        <v>8</v>
      </c>
      <c r="H37" s="10" t="s">
        <v>25</v>
      </c>
      <c r="I37" s="11">
        <f>SUM(I31:I36)</f>
        <v>14430</v>
      </c>
    </row>
    <row r="38" spans="1:9" ht="20.25" thickBot="1">
      <c r="B38" t="str">
        <f>IF(C38&gt;0,"調整あり","")</f>
        <v/>
      </c>
      <c r="C38" s="12">
        <f>D38-D37</f>
        <v>0</v>
      </c>
      <c r="D38" s="16">
        <f>ROUNDUP(D37,-1)</f>
        <v>5580</v>
      </c>
      <c r="G38" t="str">
        <f>IF(H38&gt;0,"調整あり","")</f>
        <v/>
      </c>
      <c r="H38" s="12">
        <f>I38-I37</f>
        <v>0</v>
      </c>
      <c r="I38" s="16">
        <f>ROUNDUP(I37,-1)</f>
        <v>14430</v>
      </c>
    </row>
    <row r="40" spans="1:9">
      <c r="A40" s="6" t="s">
        <v>9</v>
      </c>
      <c r="B40" s="8">
        <f>$A$2</f>
        <v>45774</v>
      </c>
      <c r="C40" s="2"/>
      <c r="D40" s="2"/>
      <c r="F40" s="6" t="s">
        <v>9</v>
      </c>
      <c r="G40" s="8">
        <f>$A$2</f>
        <v>45774</v>
      </c>
      <c r="H40" s="2"/>
      <c r="I40" s="2"/>
    </row>
    <row r="41" spans="1:9">
      <c r="A41" s="7" t="s">
        <v>4</v>
      </c>
      <c r="B41" s="14" t="s">
        <v>26</v>
      </c>
      <c r="C41" s="2"/>
      <c r="D41" s="17">
        <f>I29+1</f>
        <v>7</v>
      </c>
      <c r="F41" s="7" t="s">
        <v>4</v>
      </c>
      <c r="G41" s="14" t="s">
        <v>27</v>
      </c>
      <c r="H41" s="2"/>
      <c r="I41" s="17">
        <f>D41+1</f>
        <v>8</v>
      </c>
    </row>
    <row r="42" spans="1:9">
      <c r="A42" s="3" t="s">
        <v>3</v>
      </c>
      <c r="B42" s="3" t="s">
        <v>6</v>
      </c>
      <c r="C42" s="3" t="s">
        <v>5</v>
      </c>
      <c r="D42" s="3" t="s">
        <v>7</v>
      </c>
      <c r="F42" s="3" t="s">
        <v>3</v>
      </c>
      <c r="G42" s="3" t="s">
        <v>18</v>
      </c>
      <c r="H42" s="3" t="s">
        <v>5</v>
      </c>
      <c r="I42" s="3" t="s">
        <v>7</v>
      </c>
    </row>
    <row r="43" spans="1:9">
      <c r="A43" s="3">
        <v>1</v>
      </c>
      <c r="B43" s="9">
        <f>$E$2</f>
        <v>200</v>
      </c>
      <c r="C43" s="13">
        <v>20.100000000000001</v>
      </c>
      <c r="D43" s="5">
        <f>B43*C43</f>
        <v>4020.0000000000005</v>
      </c>
      <c r="F43" s="3">
        <v>1</v>
      </c>
      <c r="G43" s="9">
        <f>$E$2</f>
        <v>200</v>
      </c>
      <c r="H43" s="13">
        <v>9.6999999999999993</v>
      </c>
      <c r="I43" s="5">
        <f>G43*H43</f>
        <v>1939.9999999999998</v>
      </c>
    </row>
    <row r="44" spans="1:9">
      <c r="A44" s="3">
        <v>2</v>
      </c>
      <c r="B44" s="9">
        <f>$F$2</f>
        <v>200</v>
      </c>
      <c r="C44" s="13">
        <v>10.9</v>
      </c>
      <c r="D44" s="5">
        <f t="shared" ref="D44:D47" si="6">B44*C44</f>
        <v>2180</v>
      </c>
      <c r="F44" s="3">
        <v>2</v>
      </c>
      <c r="G44" s="9">
        <f>$F$2</f>
        <v>200</v>
      </c>
      <c r="H44" s="13">
        <v>3.6</v>
      </c>
      <c r="I44" s="5">
        <f t="shared" ref="I44:I47" si="7">G44*H44</f>
        <v>720</v>
      </c>
    </row>
    <row r="45" spans="1:9">
      <c r="A45" s="3">
        <v>3</v>
      </c>
      <c r="B45" s="9">
        <f>$G$2</f>
        <v>100</v>
      </c>
      <c r="C45" s="13"/>
      <c r="D45" s="5">
        <f t="shared" si="6"/>
        <v>0</v>
      </c>
      <c r="F45" s="3">
        <v>3</v>
      </c>
      <c r="G45" s="9">
        <f>$G$2</f>
        <v>100</v>
      </c>
      <c r="H45" s="13">
        <v>7.2</v>
      </c>
      <c r="I45" s="5">
        <f t="shared" si="7"/>
        <v>720</v>
      </c>
    </row>
    <row r="46" spans="1:9">
      <c r="A46" s="3">
        <v>4</v>
      </c>
      <c r="B46" s="9">
        <f>$H$2</f>
        <v>80</v>
      </c>
      <c r="C46" s="13"/>
      <c r="D46" s="5">
        <f t="shared" si="6"/>
        <v>0</v>
      </c>
      <c r="F46" s="3">
        <v>4</v>
      </c>
      <c r="G46" s="9">
        <f>$H$2</f>
        <v>80</v>
      </c>
      <c r="H46" s="13"/>
      <c r="I46" s="5">
        <f t="shared" si="7"/>
        <v>0</v>
      </c>
    </row>
    <row r="47" spans="1:9">
      <c r="A47" s="3">
        <v>5</v>
      </c>
      <c r="B47" s="9">
        <f>$I$2</f>
        <v>60</v>
      </c>
      <c r="C47" s="13"/>
      <c r="D47" s="5">
        <f t="shared" si="6"/>
        <v>0</v>
      </c>
      <c r="F47" s="3">
        <v>5</v>
      </c>
      <c r="G47" s="9">
        <f>$I$2</f>
        <v>60</v>
      </c>
      <c r="H47" s="13"/>
      <c r="I47" s="5">
        <f t="shared" si="7"/>
        <v>0</v>
      </c>
    </row>
    <row r="48" spans="1:9">
      <c r="A48" s="3" t="s">
        <v>2</v>
      </c>
      <c r="B48" s="9">
        <f>$J$2</f>
        <v>50</v>
      </c>
      <c r="C48" s="13">
        <v>7.6</v>
      </c>
      <c r="D48" s="5">
        <f>B48*C48</f>
        <v>380</v>
      </c>
      <c r="F48" s="3" t="s">
        <v>2</v>
      </c>
      <c r="G48" s="9">
        <f>$J$2</f>
        <v>50</v>
      </c>
      <c r="H48" s="13">
        <v>27.8</v>
      </c>
      <c r="I48" s="5">
        <f>G48*H48</f>
        <v>1390</v>
      </c>
    </row>
    <row r="49" spans="1:9" ht="19.5" thickBot="1">
      <c r="A49" s="3"/>
      <c r="B49" s="3" t="s">
        <v>8</v>
      </c>
      <c r="C49" s="10">
        <f>SUM(C43:C48)</f>
        <v>38.6</v>
      </c>
      <c r="D49" s="11">
        <f>SUM(D43:D48)</f>
        <v>6580</v>
      </c>
      <c r="F49" s="3"/>
      <c r="G49" s="3" t="s">
        <v>8</v>
      </c>
      <c r="H49" s="10">
        <f>SUM(H43:H48)</f>
        <v>48.3</v>
      </c>
      <c r="I49" s="11">
        <f>SUM(I43:I48)</f>
        <v>4770</v>
      </c>
    </row>
    <row r="50" spans="1:9" ht="20.25" thickBot="1">
      <c r="B50" t="str">
        <f>IF(C50&gt;0,"調整あり","")</f>
        <v/>
      </c>
      <c r="C50" s="12">
        <f>D50-D49</f>
        <v>0</v>
      </c>
      <c r="D50" s="16">
        <f>ROUNDUP(D49,-1)</f>
        <v>6580</v>
      </c>
      <c r="G50" t="str">
        <f>IF(H50&gt;0,"調整あり","")</f>
        <v/>
      </c>
      <c r="H50" s="12">
        <f>I50-I49</f>
        <v>0</v>
      </c>
      <c r="I50" s="16">
        <f>ROUNDUP(I49,-1)</f>
        <v>4770</v>
      </c>
    </row>
    <row r="52" spans="1:9">
      <c r="A52" s="6" t="s">
        <v>9</v>
      </c>
      <c r="B52" s="8">
        <f>$A$2</f>
        <v>45774</v>
      </c>
      <c r="C52" s="2"/>
      <c r="D52" s="2"/>
      <c r="F52" s="6" t="s">
        <v>9</v>
      </c>
      <c r="G52" s="8">
        <f>$A$2</f>
        <v>45774</v>
      </c>
      <c r="H52" s="2"/>
      <c r="I52" s="2"/>
    </row>
    <row r="53" spans="1:9">
      <c r="A53" s="7" t="s">
        <v>4</v>
      </c>
      <c r="B53" s="14" t="s">
        <v>28</v>
      </c>
      <c r="C53" s="2"/>
      <c r="D53" s="17">
        <f>I41+1</f>
        <v>9</v>
      </c>
      <c r="F53" s="7" t="s">
        <v>4</v>
      </c>
      <c r="G53" s="14" t="s">
        <v>29</v>
      </c>
      <c r="H53" s="2"/>
      <c r="I53" s="18">
        <f>D53+1</f>
        <v>10</v>
      </c>
    </row>
    <row r="54" spans="1:9">
      <c r="A54" s="3" t="s">
        <v>3</v>
      </c>
      <c r="B54" s="3" t="s">
        <v>6</v>
      </c>
      <c r="C54" s="3" t="s">
        <v>5</v>
      </c>
      <c r="D54" s="3" t="s">
        <v>7</v>
      </c>
      <c r="F54" s="3" t="s">
        <v>3</v>
      </c>
      <c r="G54" s="3" t="s">
        <v>6</v>
      </c>
      <c r="H54" s="3" t="s">
        <v>5</v>
      </c>
      <c r="I54" s="3" t="s">
        <v>7</v>
      </c>
    </row>
    <row r="55" spans="1:9">
      <c r="A55" s="3">
        <v>1</v>
      </c>
      <c r="B55" s="9">
        <f>$E$2</f>
        <v>200</v>
      </c>
      <c r="C55" s="13">
        <v>9.8000000000000007</v>
      </c>
      <c r="D55" s="5">
        <f>B55*C55</f>
        <v>1960.0000000000002</v>
      </c>
      <c r="F55" s="3">
        <v>1</v>
      </c>
      <c r="G55" s="9">
        <f>$E$2</f>
        <v>200</v>
      </c>
      <c r="H55" s="13">
        <v>16.2</v>
      </c>
      <c r="I55" s="5">
        <f>G55*H55</f>
        <v>3240</v>
      </c>
    </row>
    <row r="56" spans="1:9">
      <c r="A56" s="3">
        <v>2</v>
      </c>
      <c r="B56" s="9">
        <f>$F$2</f>
        <v>200</v>
      </c>
      <c r="C56" s="13">
        <v>5.6</v>
      </c>
      <c r="D56" s="5">
        <f t="shared" ref="D56:D59" si="8">B56*C56</f>
        <v>1120</v>
      </c>
      <c r="F56" s="3">
        <v>2</v>
      </c>
      <c r="G56" s="9">
        <f>$F$2</f>
        <v>200</v>
      </c>
      <c r="H56" s="13">
        <v>8.9</v>
      </c>
      <c r="I56" s="5">
        <f t="shared" ref="I56:I59" si="9">G56*H56</f>
        <v>1780</v>
      </c>
    </row>
    <row r="57" spans="1:9">
      <c r="A57" s="3">
        <v>3</v>
      </c>
      <c r="B57" s="9">
        <f>$G$2</f>
        <v>100</v>
      </c>
      <c r="C57" s="13">
        <v>6.6</v>
      </c>
      <c r="D57" s="5">
        <f t="shared" si="8"/>
        <v>660</v>
      </c>
      <c r="F57" s="3">
        <v>3</v>
      </c>
      <c r="G57" s="9">
        <f>$G$2</f>
        <v>100</v>
      </c>
      <c r="H57" s="13">
        <v>20.2</v>
      </c>
      <c r="I57" s="5">
        <f t="shared" si="9"/>
        <v>2020</v>
      </c>
    </row>
    <row r="58" spans="1:9">
      <c r="A58" s="3">
        <v>4</v>
      </c>
      <c r="B58" s="9">
        <f>$H$2</f>
        <v>80</v>
      </c>
      <c r="C58" s="13"/>
      <c r="D58" s="5">
        <f t="shared" si="8"/>
        <v>0</v>
      </c>
      <c r="F58" s="3">
        <v>4</v>
      </c>
      <c r="G58" s="9">
        <f>$H$2</f>
        <v>80</v>
      </c>
      <c r="H58" s="13"/>
      <c r="I58" s="5">
        <f t="shared" si="9"/>
        <v>0</v>
      </c>
    </row>
    <row r="59" spans="1:9">
      <c r="A59" s="3">
        <v>5</v>
      </c>
      <c r="B59" s="9">
        <f>$I$2</f>
        <v>60</v>
      </c>
      <c r="C59" s="13"/>
      <c r="D59" s="5">
        <f t="shared" si="8"/>
        <v>0</v>
      </c>
      <c r="F59" s="3">
        <v>5</v>
      </c>
      <c r="G59" s="9">
        <f>$I$2</f>
        <v>60</v>
      </c>
      <c r="H59" s="13"/>
      <c r="I59" s="5">
        <f t="shared" si="9"/>
        <v>0</v>
      </c>
    </row>
    <row r="60" spans="1:9">
      <c r="A60" s="3" t="s">
        <v>2</v>
      </c>
      <c r="B60" s="9">
        <f>$J$2</f>
        <v>50</v>
      </c>
      <c r="C60" s="13">
        <v>10.7</v>
      </c>
      <c r="D60" s="5">
        <f>B60*C60</f>
        <v>535</v>
      </c>
      <c r="F60" s="3" t="s">
        <v>2</v>
      </c>
      <c r="G60" s="9">
        <f>$J$2</f>
        <v>50</v>
      </c>
      <c r="H60" s="13">
        <v>59.4</v>
      </c>
      <c r="I60" s="5">
        <f>G60*H60</f>
        <v>2970</v>
      </c>
    </row>
    <row r="61" spans="1:9" ht="19.5" thickBot="1">
      <c r="A61" s="3"/>
      <c r="B61" s="3" t="s">
        <v>8</v>
      </c>
      <c r="C61" s="10">
        <f>SUM(C55:C60)</f>
        <v>32.700000000000003</v>
      </c>
      <c r="D61" s="11">
        <f>SUM(D55:D60)</f>
        <v>4275</v>
      </c>
      <c r="F61" s="3"/>
      <c r="G61" s="3" t="s">
        <v>8</v>
      </c>
      <c r="H61" s="10">
        <f>SUM(H55:H60)</f>
        <v>104.69999999999999</v>
      </c>
      <c r="I61" s="11">
        <f>SUM(I55:I60)</f>
        <v>10010</v>
      </c>
    </row>
    <row r="62" spans="1:9" ht="20.25" thickBot="1">
      <c r="B62" t="str">
        <f>IF(C62&gt;0,"調整あり","")</f>
        <v>調整あり</v>
      </c>
      <c r="C62" s="12">
        <f>D62-D61</f>
        <v>5</v>
      </c>
      <c r="D62" s="16">
        <f>ROUNDUP(D61,-1)</f>
        <v>4280</v>
      </c>
      <c r="G62" t="str">
        <f>IF(H62&gt;0,"調整あり","")</f>
        <v/>
      </c>
      <c r="H62" s="12">
        <f>I62-I61</f>
        <v>0</v>
      </c>
      <c r="I62" s="16">
        <f>ROUNDUP(I61,-1)</f>
        <v>10010</v>
      </c>
    </row>
    <row r="64" spans="1:9">
      <c r="A64" s="6" t="s">
        <v>9</v>
      </c>
      <c r="B64" s="8">
        <f>$A$2</f>
        <v>45774</v>
      </c>
      <c r="C64" s="2"/>
      <c r="D64" s="2"/>
      <c r="F64" s="6" t="s">
        <v>9</v>
      </c>
      <c r="G64" s="8">
        <f>$A$2</f>
        <v>45774</v>
      </c>
      <c r="H64" s="2"/>
      <c r="I64" s="2"/>
    </row>
    <row r="65" spans="1:9">
      <c r="A65" s="7" t="s">
        <v>4</v>
      </c>
      <c r="B65" s="14" t="s">
        <v>30</v>
      </c>
      <c r="C65" s="2"/>
      <c r="D65" s="18">
        <f>I53+1</f>
        <v>11</v>
      </c>
      <c r="F65" s="7" t="s">
        <v>4</v>
      </c>
      <c r="G65" s="14" t="s">
        <v>31</v>
      </c>
      <c r="H65" s="2"/>
      <c r="I65" s="18">
        <f>D65+1</f>
        <v>12</v>
      </c>
    </row>
    <row r="66" spans="1:9">
      <c r="A66" s="3" t="s">
        <v>3</v>
      </c>
      <c r="B66" s="3" t="s">
        <v>6</v>
      </c>
      <c r="C66" s="3" t="s">
        <v>5</v>
      </c>
      <c r="D66" s="3" t="s">
        <v>7</v>
      </c>
      <c r="F66" s="3" t="s">
        <v>3</v>
      </c>
      <c r="G66" s="3" t="s">
        <v>6</v>
      </c>
      <c r="H66" s="3" t="s">
        <v>5</v>
      </c>
      <c r="I66" s="3" t="s">
        <v>7</v>
      </c>
    </row>
    <row r="67" spans="1:9">
      <c r="A67" s="3">
        <v>1</v>
      </c>
      <c r="B67" s="9">
        <f>$E$2</f>
        <v>200</v>
      </c>
      <c r="C67" s="13">
        <v>38.5</v>
      </c>
      <c r="D67" s="5">
        <f>B67*C67</f>
        <v>7700</v>
      </c>
      <c r="F67" s="3">
        <v>1</v>
      </c>
      <c r="G67" s="9">
        <f>$E$2</f>
        <v>200</v>
      </c>
      <c r="H67" s="13">
        <v>58.9</v>
      </c>
      <c r="I67" s="5">
        <f>G67*H67</f>
        <v>11780</v>
      </c>
    </row>
    <row r="68" spans="1:9">
      <c r="A68" s="3">
        <v>2</v>
      </c>
      <c r="B68" s="9">
        <f>$F$2</f>
        <v>200</v>
      </c>
      <c r="C68" s="13">
        <v>19.3</v>
      </c>
      <c r="D68" s="5">
        <f t="shared" ref="D68:D71" si="10">B68*C68</f>
        <v>3860</v>
      </c>
      <c r="F68" s="3">
        <v>2</v>
      </c>
      <c r="G68" s="9">
        <f>$F$2</f>
        <v>200</v>
      </c>
      <c r="H68" s="13">
        <v>18.5</v>
      </c>
      <c r="I68" s="5">
        <f t="shared" ref="I68:I71" si="11">G68*H68</f>
        <v>3700</v>
      </c>
    </row>
    <row r="69" spans="1:9">
      <c r="A69" s="3">
        <v>3</v>
      </c>
      <c r="B69" s="9">
        <v>100</v>
      </c>
      <c r="C69" s="13">
        <v>22.4</v>
      </c>
      <c r="D69" s="5">
        <f t="shared" si="10"/>
        <v>2240</v>
      </c>
      <c r="F69" s="3">
        <v>3</v>
      </c>
      <c r="G69" s="9">
        <f>$G$2</f>
        <v>100</v>
      </c>
      <c r="H69" s="13">
        <v>3</v>
      </c>
      <c r="I69" s="5">
        <f t="shared" si="11"/>
        <v>300</v>
      </c>
    </row>
    <row r="70" spans="1:9">
      <c r="A70" s="3">
        <v>4</v>
      </c>
      <c r="B70" s="9">
        <f>$H$2</f>
        <v>80</v>
      </c>
      <c r="C70" s="13"/>
      <c r="D70" s="5">
        <f t="shared" si="10"/>
        <v>0</v>
      </c>
      <c r="F70" s="3">
        <v>4</v>
      </c>
      <c r="G70" s="9">
        <f>$H$2</f>
        <v>80</v>
      </c>
      <c r="H70" s="13"/>
      <c r="I70" s="5">
        <f t="shared" si="11"/>
        <v>0</v>
      </c>
    </row>
    <row r="71" spans="1:9">
      <c r="A71" s="3">
        <v>5</v>
      </c>
      <c r="B71" s="9">
        <f>$I$2</f>
        <v>60</v>
      </c>
      <c r="C71" s="13"/>
      <c r="D71" s="5">
        <f t="shared" si="10"/>
        <v>0</v>
      </c>
      <c r="F71" s="3">
        <v>5</v>
      </c>
      <c r="G71" s="9">
        <f>$I$2</f>
        <v>60</v>
      </c>
      <c r="H71" s="13"/>
      <c r="I71" s="5">
        <f t="shared" si="11"/>
        <v>0</v>
      </c>
    </row>
    <row r="72" spans="1:9">
      <c r="A72" s="3" t="s">
        <v>2</v>
      </c>
      <c r="B72" s="9">
        <f>$J$2</f>
        <v>50</v>
      </c>
      <c r="C72" s="13">
        <v>74.7</v>
      </c>
      <c r="D72" s="5">
        <f>B72*C72</f>
        <v>3735</v>
      </c>
      <c r="F72" s="3" t="s">
        <v>2</v>
      </c>
      <c r="G72" s="9">
        <f>$J$2</f>
        <v>50</v>
      </c>
      <c r="H72" s="13">
        <v>14.9</v>
      </c>
      <c r="I72" s="5">
        <f>G72*H72</f>
        <v>745</v>
      </c>
    </row>
    <row r="73" spans="1:9" ht="19.5" thickBot="1">
      <c r="A73" s="3"/>
      <c r="B73" s="3" t="s">
        <v>8</v>
      </c>
      <c r="C73" s="10">
        <f>SUM(C67:C72)</f>
        <v>154.89999999999998</v>
      </c>
      <c r="D73" s="11">
        <f>SUM(D67:D72)</f>
        <v>17535</v>
      </c>
      <c r="F73" s="3"/>
      <c r="G73" s="3" t="s">
        <v>8</v>
      </c>
      <c r="H73" s="10">
        <f>SUM(H67:H72)</f>
        <v>95.300000000000011</v>
      </c>
      <c r="I73" s="11">
        <f>SUM(I67:I72)</f>
        <v>16525</v>
      </c>
    </row>
    <row r="74" spans="1:9" ht="20.25" thickBot="1">
      <c r="B74" t="str">
        <f>IF(C74&gt;0,"調整あり","")</f>
        <v>調整あり</v>
      </c>
      <c r="C74" s="12">
        <f>D74-D73</f>
        <v>5</v>
      </c>
      <c r="D74" s="16">
        <f>ROUNDUP(D73,-1)</f>
        <v>17540</v>
      </c>
      <c r="G74" t="str">
        <f>IF(H74&gt;0,"調整あり","")</f>
        <v>調整あり</v>
      </c>
      <c r="H74" s="12">
        <f>I74-I73</f>
        <v>5</v>
      </c>
      <c r="I74" s="16">
        <f>ROUNDUP(I73,-1)</f>
        <v>16530</v>
      </c>
    </row>
    <row r="76" spans="1:9">
      <c r="A76" s="6" t="s">
        <v>9</v>
      </c>
      <c r="B76" s="8">
        <f>$A$2</f>
        <v>45774</v>
      </c>
      <c r="C76" s="2"/>
      <c r="D76" s="2"/>
      <c r="F76" s="6" t="s">
        <v>9</v>
      </c>
      <c r="G76" s="8">
        <f>$A$2</f>
        <v>45774</v>
      </c>
      <c r="H76" s="2"/>
      <c r="I76" s="2"/>
    </row>
    <row r="77" spans="1:9">
      <c r="A77" s="7" t="s">
        <v>4</v>
      </c>
      <c r="B77" s="14"/>
      <c r="C77" s="2"/>
      <c r="D77" s="18">
        <f>I65+1</f>
        <v>13</v>
      </c>
      <c r="F77" s="7" t="s">
        <v>4</v>
      </c>
      <c r="G77" s="14"/>
      <c r="H77" s="2"/>
      <c r="I77" s="18">
        <f>D77+1</f>
        <v>14</v>
      </c>
    </row>
    <row r="78" spans="1:9">
      <c r="A78" s="3" t="s">
        <v>3</v>
      </c>
      <c r="B78" s="3" t="s">
        <v>6</v>
      </c>
      <c r="C78" s="3" t="s">
        <v>5</v>
      </c>
      <c r="D78" s="3" t="s">
        <v>7</v>
      </c>
      <c r="F78" s="3" t="s">
        <v>3</v>
      </c>
      <c r="G78" s="3" t="s">
        <v>6</v>
      </c>
      <c r="H78" s="3" t="s">
        <v>5</v>
      </c>
      <c r="I78" s="3" t="s">
        <v>7</v>
      </c>
    </row>
    <row r="79" spans="1:9">
      <c r="A79" s="3">
        <v>1</v>
      </c>
      <c r="B79" s="9">
        <f>$E$2</f>
        <v>200</v>
      </c>
      <c r="C79" s="13"/>
      <c r="D79" s="5">
        <f>B79*C79</f>
        <v>0</v>
      </c>
      <c r="F79" s="3">
        <v>1</v>
      </c>
      <c r="G79" s="9">
        <f>$E$2</f>
        <v>200</v>
      </c>
      <c r="H79" s="13"/>
      <c r="I79" s="5">
        <f>G79*H79</f>
        <v>0</v>
      </c>
    </row>
    <row r="80" spans="1:9">
      <c r="A80" s="3">
        <v>2</v>
      </c>
      <c r="B80" s="9">
        <f>$F$2</f>
        <v>200</v>
      </c>
      <c r="C80" s="13"/>
      <c r="D80" s="5">
        <f t="shared" ref="D80:D83" si="12">B80*C80</f>
        <v>0</v>
      </c>
      <c r="F80" s="3">
        <v>2</v>
      </c>
      <c r="G80" s="9">
        <f>$F$2</f>
        <v>200</v>
      </c>
      <c r="H80" s="13"/>
      <c r="I80" s="5">
        <f t="shared" ref="I80:I83" si="13">G80*H80</f>
        <v>0</v>
      </c>
    </row>
    <row r="81" spans="1:9">
      <c r="A81" s="3">
        <v>3</v>
      </c>
      <c r="B81" s="9">
        <f>$G$2</f>
        <v>100</v>
      </c>
      <c r="C81" s="13"/>
      <c r="D81" s="5">
        <f t="shared" si="12"/>
        <v>0</v>
      </c>
      <c r="F81" s="3">
        <v>3</v>
      </c>
      <c r="G81" s="9">
        <f>$G$2</f>
        <v>100</v>
      </c>
      <c r="H81" s="13"/>
      <c r="I81" s="5">
        <f t="shared" si="13"/>
        <v>0</v>
      </c>
    </row>
    <row r="82" spans="1:9">
      <c r="A82" s="3">
        <v>4</v>
      </c>
      <c r="B82" s="9">
        <f>$H$2</f>
        <v>80</v>
      </c>
      <c r="C82" s="13"/>
      <c r="D82" s="5">
        <f t="shared" si="12"/>
        <v>0</v>
      </c>
      <c r="F82" s="3">
        <v>4</v>
      </c>
      <c r="G82" s="9">
        <f>$H$2</f>
        <v>80</v>
      </c>
      <c r="H82" s="13"/>
      <c r="I82" s="5">
        <f t="shared" si="13"/>
        <v>0</v>
      </c>
    </row>
    <row r="83" spans="1:9">
      <c r="A83" s="3">
        <v>5</v>
      </c>
      <c r="B83" s="9">
        <f>$I$2</f>
        <v>60</v>
      </c>
      <c r="C83" s="13"/>
      <c r="D83" s="5">
        <f t="shared" si="12"/>
        <v>0</v>
      </c>
      <c r="F83" s="3">
        <v>5</v>
      </c>
      <c r="G83" s="9">
        <f>$I$2</f>
        <v>60</v>
      </c>
      <c r="H83" s="13"/>
      <c r="I83" s="5">
        <f t="shared" si="13"/>
        <v>0</v>
      </c>
    </row>
    <row r="84" spans="1:9">
      <c r="A84" s="3" t="s">
        <v>2</v>
      </c>
      <c r="B84" s="9">
        <f>$J$2</f>
        <v>50</v>
      </c>
      <c r="C84" s="13"/>
      <c r="D84" s="5">
        <f>B84*C84</f>
        <v>0</v>
      </c>
      <c r="F84" s="3" t="s">
        <v>2</v>
      </c>
      <c r="G84" s="9">
        <f>$J$2</f>
        <v>50</v>
      </c>
      <c r="H84" s="13"/>
      <c r="I84" s="5">
        <f>G84*H84</f>
        <v>0</v>
      </c>
    </row>
    <row r="85" spans="1:9" ht="19.5" thickBot="1">
      <c r="A85" s="3"/>
      <c r="B85" s="3" t="s">
        <v>8</v>
      </c>
      <c r="C85" s="10">
        <f>SUM(C79:C84)</f>
        <v>0</v>
      </c>
      <c r="D85" s="11">
        <f>SUM(D79:D84)</f>
        <v>0</v>
      </c>
      <c r="F85" s="3"/>
      <c r="G85" s="3" t="s">
        <v>8</v>
      </c>
      <c r="H85" s="10">
        <f>SUM(H79:H84)</f>
        <v>0</v>
      </c>
      <c r="I85" s="11">
        <f>SUM(I79:I84)</f>
        <v>0</v>
      </c>
    </row>
    <row r="86" spans="1:9" ht="20.25" thickBot="1">
      <c r="B86" t="str">
        <f>IF(C86&gt;0,"調整あり","")</f>
        <v/>
      </c>
      <c r="C86" s="12">
        <f>D86-D85</f>
        <v>0</v>
      </c>
      <c r="D86" s="16">
        <f>ROUNDUP(D85,-1)</f>
        <v>0</v>
      </c>
      <c r="G86" t="str">
        <f>IF(H86&gt;0,"調整あり","")</f>
        <v/>
      </c>
      <c r="H86" s="12">
        <f>I86-I85</f>
        <v>0</v>
      </c>
      <c r="I86" s="16">
        <f>ROUNDUP(I85,-1)</f>
        <v>0</v>
      </c>
    </row>
    <row r="88" spans="1:9">
      <c r="A88" s="6" t="s">
        <v>9</v>
      </c>
      <c r="B88" s="8">
        <f>$A$2</f>
        <v>45774</v>
      </c>
      <c r="C88" s="2"/>
      <c r="D88" s="2"/>
      <c r="F88" s="6" t="s">
        <v>9</v>
      </c>
      <c r="G88" s="8">
        <f>$A$2</f>
        <v>45774</v>
      </c>
      <c r="H88" s="2"/>
      <c r="I88" s="2"/>
    </row>
    <row r="89" spans="1:9">
      <c r="A89" s="7" t="s">
        <v>4</v>
      </c>
      <c r="B89" s="14"/>
      <c r="C89" s="2"/>
      <c r="D89" s="18">
        <f>I77+1</f>
        <v>15</v>
      </c>
      <c r="F89" s="7" t="s">
        <v>4</v>
      </c>
      <c r="G89" s="14"/>
      <c r="H89" s="2"/>
      <c r="I89" s="18">
        <f>D89+1</f>
        <v>16</v>
      </c>
    </row>
    <row r="90" spans="1:9">
      <c r="A90" s="3" t="s">
        <v>3</v>
      </c>
      <c r="B90" s="3" t="s">
        <v>6</v>
      </c>
      <c r="C90" s="3" t="s">
        <v>5</v>
      </c>
      <c r="D90" s="3" t="s">
        <v>7</v>
      </c>
      <c r="F90" s="3" t="s">
        <v>3</v>
      </c>
      <c r="G90" s="3" t="s">
        <v>6</v>
      </c>
      <c r="H90" s="3" t="s">
        <v>5</v>
      </c>
      <c r="I90" s="3" t="s">
        <v>7</v>
      </c>
    </row>
    <row r="91" spans="1:9">
      <c r="A91" s="3">
        <v>1</v>
      </c>
      <c r="B91" s="9">
        <f>$E$2</f>
        <v>200</v>
      </c>
      <c r="C91" s="13"/>
      <c r="D91" s="5">
        <f>B91*C91</f>
        <v>0</v>
      </c>
      <c r="F91" s="3">
        <v>1</v>
      </c>
      <c r="G91" s="9">
        <f>$E$2</f>
        <v>200</v>
      </c>
      <c r="H91" s="13"/>
      <c r="I91" s="5">
        <f>G91*H91</f>
        <v>0</v>
      </c>
    </row>
    <row r="92" spans="1:9">
      <c r="A92" s="3">
        <v>2</v>
      </c>
      <c r="B92" s="9">
        <f>$F$2</f>
        <v>200</v>
      </c>
      <c r="C92" s="13"/>
      <c r="D92" s="5">
        <f t="shared" ref="D92:D95" si="14">B92*C92</f>
        <v>0</v>
      </c>
      <c r="F92" s="3">
        <v>2</v>
      </c>
      <c r="G92" s="9">
        <f>$F$2</f>
        <v>200</v>
      </c>
      <c r="H92" s="13"/>
      <c r="I92" s="5">
        <f t="shared" ref="I92:I95" si="15">G92*H92</f>
        <v>0</v>
      </c>
    </row>
    <row r="93" spans="1:9">
      <c r="A93" s="3">
        <v>3</v>
      </c>
      <c r="B93" s="9">
        <f>$G$2</f>
        <v>100</v>
      </c>
      <c r="C93" s="13"/>
      <c r="D93" s="5">
        <f t="shared" si="14"/>
        <v>0</v>
      </c>
      <c r="F93" s="3">
        <v>3</v>
      </c>
      <c r="G93" s="9">
        <f>$G$2</f>
        <v>100</v>
      </c>
      <c r="H93" s="13"/>
      <c r="I93" s="5">
        <f t="shared" si="15"/>
        <v>0</v>
      </c>
    </row>
    <row r="94" spans="1:9">
      <c r="A94" s="3">
        <v>4</v>
      </c>
      <c r="B94" s="9">
        <f>$H$2</f>
        <v>80</v>
      </c>
      <c r="C94" s="13"/>
      <c r="D94" s="5">
        <f t="shared" si="14"/>
        <v>0</v>
      </c>
      <c r="F94" s="3">
        <v>4</v>
      </c>
      <c r="G94" s="9">
        <f>$H$2</f>
        <v>80</v>
      </c>
      <c r="H94" s="13"/>
      <c r="I94" s="5">
        <f t="shared" si="15"/>
        <v>0</v>
      </c>
    </row>
    <row r="95" spans="1:9">
      <c r="A95" s="3">
        <v>5</v>
      </c>
      <c r="B95" s="9">
        <f>$I$2</f>
        <v>60</v>
      </c>
      <c r="C95" s="13"/>
      <c r="D95" s="5">
        <f t="shared" si="14"/>
        <v>0</v>
      </c>
      <c r="F95" s="3">
        <v>5</v>
      </c>
      <c r="G95" s="9">
        <f>$I$2</f>
        <v>60</v>
      </c>
      <c r="H95" s="13"/>
      <c r="I95" s="5">
        <f t="shared" si="15"/>
        <v>0</v>
      </c>
    </row>
    <row r="96" spans="1:9">
      <c r="A96" s="3" t="s">
        <v>2</v>
      </c>
      <c r="B96" s="9">
        <f>$J$2</f>
        <v>50</v>
      </c>
      <c r="C96" s="13"/>
      <c r="D96" s="5">
        <f>B96*C96</f>
        <v>0</v>
      </c>
      <c r="F96" s="3" t="s">
        <v>2</v>
      </c>
      <c r="G96" s="9">
        <f>$J$2</f>
        <v>50</v>
      </c>
      <c r="H96" s="13"/>
      <c r="I96" s="5">
        <f>G96*H96</f>
        <v>0</v>
      </c>
    </row>
    <row r="97" spans="1:9" ht="19.5" thickBot="1">
      <c r="A97" s="3"/>
      <c r="B97" s="3" t="s">
        <v>8</v>
      </c>
      <c r="C97" s="10">
        <f>SUM(C91:C96)</f>
        <v>0</v>
      </c>
      <c r="D97" s="11">
        <f>SUM(D91:D96)</f>
        <v>0</v>
      </c>
      <c r="F97" s="3"/>
      <c r="G97" s="3" t="s">
        <v>8</v>
      </c>
      <c r="H97" s="10">
        <f>SUM(H91:H96)</f>
        <v>0</v>
      </c>
      <c r="I97" s="11">
        <f>SUM(I91:I96)</f>
        <v>0</v>
      </c>
    </row>
    <row r="98" spans="1:9" ht="20.25" thickBot="1">
      <c r="B98" t="str">
        <f>IF(C98&gt;0,"調整あり","")</f>
        <v/>
      </c>
      <c r="C98" s="12">
        <f>D98-D97</f>
        <v>0</v>
      </c>
      <c r="D98" s="16">
        <f>ROUNDUP(D97,-1)</f>
        <v>0</v>
      </c>
      <c r="G98" t="str">
        <f>IF(H98&gt;0,"調整あり","")</f>
        <v/>
      </c>
      <c r="H98" s="12">
        <f>I98-I97</f>
        <v>0</v>
      </c>
      <c r="I98" s="16">
        <f>ROUNDUP(I97,-1)</f>
        <v>0</v>
      </c>
    </row>
    <row r="100" spans="1:9">
      <c r="A100" s="6" t="s">
        <v>9</v>
      </c>
      <c r="B100" s="8">
        <f>$A$2</f>
        <v>45774</v>
      </c>
      <c r="C100" s="2"/>
      <c r="D100" s="2"/>
      <c r="F100" s="6" t="s">
        <v>9</v>
      </c>
      <c r="G100" s="8">
        <f>$A$2</f>
        <v>45774</v>
      </c>
      <c r="H100" s="2"/>
      <c r="I100" s="2"/>
    </row>
    <row r="101" spans="1:9">
      <c r="A101" s="7" t="s">
        <v>4</v>
      </c>
      <c r="B101" s="14"/>
      <c r="C101" s="2"/>
      <c r="D101" s="18">
        <f>I89+1</f>
        <v>17</v>
      </c>
      <c r="F101" s="7" t="s">
        <v>4</v>
      </c>
      <c r="G101" s="14"/>
      <c r="H101" s="2"/>
      <c r="I101" s="18">
        <f>D101+1</f>
        <v>18</v>
      </c>
    </row>
    <row r="102" spans="1:9">
      <c r="A102" s="3" t="s">
        <v>3</v>
      </c>
      <c r="B102" s="3" t="s">
        <v>6</v>
      </c>
      <c r="C102" s="3" t="s">
        <v>5</v>
      </c>
      <c r="D102" s="3" t="s">
        <v>7</v>
      </c>
      <c r="F102" s="3" t="s">
        <v>3</v>
      </c>
      <c r="G102" s="3" t="s">
        <v>6</v>
      </c>
      <c r="H102" s="3" t="s">
        <v>5</v>
      </c>
      <c r="I102" s="3" t="s">
        <v>7</v>
      </c>
    </row>
    <row r="103" spans="1:9">
      <c r="A103" s="3">
        <v>1</v>
      </c>
      <c r="B103" s="9">
        <f>$E$2</f>
        <v>200</v>
      </c>
      <c r="C103" s="13"/>
      <c r="D103" s="5">
        <f>B103*C103</f>
        <v>0</v>
      </c>
      <c r="F103" s="3">
        <v>1</v>
      </c>
      <c r="G103" s="9">
        <f>$E$2</f>
        <v>200</v>
      </c>
      <c r="H103" s="13"/>
      <c r="I103" s="5">
        <f>G103*H103</f>
        <v>0</v>
      </c>
    </row>
    <row r="104" spans="1:9">
      <c r="A104" s="3">
        <v>2</v>
      </c>
      <c r="B104" s="9">
        <f>$F$2</f>
        <v>200</v>
      </c>
      <c r="C104" s="13"/>
      <c r="D104" s="5">
        <f t="shared" ref="D104:D107" si="16">B104*C104</f>
        <v>0</v>
      </c>
      <c r="F104" s="3">
        <v>2</v>
      </c>
      <c r="G104" s="9">
        <f>$F$2</f>
        <v>200</v>
      </c>
      <c r="H104" s="13"/>
      <c r="I104" s="5">
        <f t="shared" ref="I104:I107" si="17">G104*H104</f>
        <v>0</v>
      </c>
    </row>
    <row r="105" spans="1:9">
      <c r="A105" s="3">
        <v>3</v>
      </c>
      <c r="B105" s="9">
        <f>$G$2</f>
        <v>100</v>
      </c>
      <c r="C105" s="13"/>
      <c r="D105" s="5">
        <f t="shared" si="16"/>
        <v>0</v>
      </c>
      <c r="F105" s="3">
        <v>3</v>
      </c>
      <c r="G105" s="9">
        <f>$G$2</f>
        <v>100</v>
      </c>
      <c r="H105" s="13"/>
      <c r="I105" s="5">
        <f t="shared" si="17"/>
        <v>0</v>
      </c>
    </row>
    <row r="106" spans="1:9">
      <c r="A106" s="3">
        <v>4</v>
      </c>
      <c r="B106" s="9">
        <f>$H$2</f>
        <v>80</v>
      </c>
      <c r="C106" s="13"/>
      <c r="D106" s="5">
        <f t="shared" si="16"/>
        <v>0</v>
      </c>
      <c r="F106" s="3">
        <v>4</v>
      </c>
      <c r="G106" s="9">
        <f>$H$2</f>
        <v>80</v>
      </c>
      <c r="H106" s="13"/>
      <c r="I106" s="5">
        <f t="shared" si="17"/>
        <v>0</v>
      </c>
    </row>
    <row r="107" spans="1:9">
      <c r="A107" s="3">
        <v>5</v>
      </c>
      <c r="B107" s="9">
        <f>$I$2</f>
        <v>60</v>
      </c>
      <c r="C107" s="13"/>
      <c r="D107" s="5">
        <f t="shared" si="16"/>
        <v>0</v>
      </c>
      <c r="F107" s="3">
        <v>5</v>
      </c>
      <c r="G107" s="9">
        <f>$I$2</f>
        <v>60</v>
      </c>
      <c r="H107" s="13"/>
      <c r="I107" s="5">
        <f t="shared" si="17"/>
        <v>0</v>
      </c>
    </row>
    <row r="108" spans="1:9">
      <c r="A108" s="3" t="s">
        <v>2</v>
      </c>
      <c r="B108" s="9">
        <f>$J$2</f>
        <v>50</v>
      </c>
      <c r="C108" s="13"/>
      <c r="D108" s="5">
        <f>B108*C108</f>
        <v>0</v>
      </c>
      <c r="F108" s="3" t="s">
        <v>2</v>
      </c>
      <c r="G108" s="9">
        <f>$J$2</f>
        <v>50</v>
      </c>
      <c r="H108" s="13"/>
      <c r="I108" s="5">
        <f>G108*H108</f>
        <v>0</v>
      </c>
    </row>
    <row r="109" spans="1:9" ht="19.5" thickBot="1">
      <c r="A109" s="3"/>
      <c r="B109" s="3" t="s">
        <v>8</v>
      </c>
      <c r="C109" s="10">
        <f>SUM(C103:C108)</f>
        <v>0</v>
      </c>
      <c r="D109" s="11">
        <f>SUM(D103:D108)</f>
        <v>0</v>
      </c>
      <c r="F109" s="3"/>
      <c r="G109" s="3" t="s">
        <v>8</v>
      </c>
      <c r="H109" s="10">
        <f>SUM(H103:H108)</f>
        <v>0</v>
      </c>
      <c r="I109" s="11">
        <f>SUM(I103:I108)</f>
        <v>0</v>
      </c>
    </row>
    <row r="110" spans="1:9" ht="20.25" thickBot="1">
      <c r="B110" t="str">
        <f>IF(C110&gt;0,"調整あり","")</f>
        <v/>
      </c>
      <c r="C110" s="12">
        <f>D110-D109</f>
        <v>0</v>
      </c>
      <c r="D110" s="16">
        <f>ROUNDUP(D109,-1)</f>
        <v>0</v>
      </c>
      <c r="G110" t="str">
        <f>IF(H110&gt;0,"調整あり","")</f>
        <v/>
      </c>
      <c r="H110" s="12">
        <f>I110-I109</f>
        <v>0</v>
      </c>
      <c r="I110" s="16">
        <f>ROUNDUP(I109,-1)</f>
        <v>0</v>
      </c>
    </row>
    <row r="112" spans="1:9">
      <c r="A112" s="6" t="s">
        <v>9</v>
      </c>
      <c r="B112" s="8">
        <f>$A$2</f>
        <v>45774</v>
      </c>
      <c r="C112" s="2"/>
      <c r="D112" s="2"/>
      <c r="F112" s="6" t="s">
        <v>9</v>
      </c>
      <c r="G112" s="8">
        <f>$A$2</f>
        <v>45774</v>
      </c>
      <c r="H112" s="2"/>
      <c r="I112" s="2"/>
    </row>
    <row r="113" spans="1:9">
      <c r="A113" s="7" t="s">
        <v>4</v>
      </c>
      <c r="B113" s="14"/>
      <c r="C113" s="2"/>
      <c r="D113" s="18">
        <f>I101+1</f>
        <v>19</v>
      </c>
      <c r="F113" s="7" t="s">
        <v>4</v>
      </c>
      <c r="G113" s="14"/>
      <c r="H113" s="2"/>
      <c r="I113" s="18">
        <f>D113+1</f>
        <v>20</v>
      </c>
    </row>
    <row r="114" spans="1:9">
      <c r="A114" s="3" t="s">
        <v>3</v>
      </c>
      <c r="B114" s="3" t="s">
        <v>6</v>
      </c>
      <c r="C114" s="3" t="s">
        <v>5</v>
      </c>
      <c r="D114" s="3" t="s">
        <v>7</v>
      </c>
      <c r="F114" s="3" t="s">
        <v>3</v>
      </c>
      <c r="G114" s="3" t="s">
        <v>6</v>
      </c>
      <c r="H114" s="3" t="s">
        <v>5</v>
      </c>
      <c r="I114" s="3" t="s">
        <v>7</v>
      </c>
    </row>
    <row r="115" spans="1:9">
      <c r="A115" s="3">
        <v>1</v>
      </c>
      <c r="B115" s="9">
        <f>$E$2</f>
        <v>200</v>
      </c>
      <c r="C115" s="13"/>
      <c r="D115" s="5">
        <f>B115*C115</f>
        <v>0</v>
      </c>
      <c r="F115" s="3">
        <v>1</v>
      </c>
      <c r="G115" s="9">
        <f>$E$2</f>
        <v>200</v>
      </c>
      <c r="H115" s="13"/>
      <c r="I115" s="5">
        <f>G115*H115</f>
        <v>0</v>
      </c>
    </row>
    <row r="116" spans="1:9">
      <c r="A116" s="3">
        <v>2</v>
      </c>
      <c r="B116" s="9">
        <f>$F$2</f>
        <v>200</v>
      </c>
      <c r="C116" s="13"/>
      <c r="D116" s="5">
        <f t="shared" ref="D116:D119" si="18">B116*C116</f>
        <v>0</v>
      </c>
      <c r="F116" s="3">
        <v>2</v>
      </c>
      <c r="G116" s="9">
        <f>$F$2</f>
        <v>200</v>
      </c>
      <c r="H116" s="13"/>
      <c r="I116" s="5">
        <f t="shared" ref="I116:I119" si="19">G116*H116</f>
        <v>0</v>
      </c>
    </row>
    <row r="117" spans="1:9">
      <c r="A117" s="3">
        <v>3</v>
      </c>
      <c r="B117" s="9">
        <f>$G$2</f>
        <v>100</v>
      </c>
      <c r="C117" s="13"/>
      <c r="D117" s="5">
        <f t="shared" si="18"/>
        <v>0</v>
      </c>
      <c r="F117" s="3">
        <v>3</v>
      </c>
      <c r="G117" s="9">
        <f>$G$2</f>
        <v>100</v>
      </c>
      <c r="H117" s="13"/>
      <c r="I117" s="5">
        <f t="shared" si="19"/>
        <v>0</v>
      </c>
    </row>
    <row r="118" spans="1:9">
      <c r="A118" s="3">
        <v>4</v>
      </c>
      <c r="B118" s="9">
        <f>$H$2</f>
        <v>80</v>
      </c>
      <c r="C118" s="13"/>
      <c r="D118" s="5">
        <f t="shared" si="18"/>
        <v>0</v>
      </c>
      <c r="F118" s="3">
        <v>4</v>
      </c>
      <c r="G118" s="9">
        <f>$H$2</f>
        <v>80</v>
      </c>
      <c r="H118" s="13"/>
      <c r="I118" s="5">
        <f t="shared" si="19"/>
        <v>0</v>
      </c>
    </row>
    <row r="119" spans="1:9">
      <c r="A119" s="3">
        <v>5</v>
      </c>
      <c r="B119" s="9">
        <f>$I$2</f>
        <v>60</v>
      </c>
      <c r="C119" s="13"/>
      <c r="D119" s="5">
        <f t="shared" si="18"/>
        <v>0</v>
      </c>
      <c r="F119" s="3">
        <v>5</v>
      </c>
      <c r="G119" s="9">
        <f>$I$2</f>
        <v>60</v>
      </c>
      <c r="H119" s="13"/>
      <c r="I119" s="5">
        <f t="shared" si="19"/>
        <v>0</v>
      </c>
    </row>
    <row r="120" spans="1:9">
      <c r="A120" s="3" t="s">
        <v>2</v>
      </c>
      <c r="B120" s="9">
        <f>$J$2</f>
        <v>50</v>
      </c>
      <c r="C120" s="13"/>
      <c r="D120" s="5">
        <f>B120*C120</f>
        <v>0</v>
      </c>
      <c r="F120" s="3" t="s">
        <v>2</v>
      </c>
      <c r="G120" s="9">
        <f>$J$2</f>
        <v>50</v>
      </c>
      <c r="H120" s="13"/>
      <c r="I120" s="5">
        <f>G120*H120</f>
        <v>0</v>
      </c>
    </row>
    <row r="121" spans="1:9" ht="19.5" thickBot="1">
      <c r="A121" s="3"/>
      <c r="B121" s="3" t="s">
        <v>8</v>
      </c>
      <c r="C121" s="10">
        <f>SUM(C115:C120)</f>
        <v>0</v>
      </c>
      <c r="D121" s="11">
        <f>SUM(D115:D120)</f>
        <v>0</v>
      </c>
      <c r="F121" s="3"/>
      <c r="G121" s="3" t="s">
        <v>8</v>
      </c>
      <c r="H121" s="10">
        <f>SUM(H115:H120)</f>
        <v>0</v>
      </c>
      <c r="I121" s="11">
        <f>SUM(I115:I120)</f>
        <v>0</v>
      </c>
    </row>
    <row r="122" spans="1:9" ht="20.25" thickBot="1">
      <c r="B122" t="str">
        <f>IF(C122&gt;0,"調整あり","")</f>
        <v/>
      </c>
      <c r="C122" s="12">
        <f>D122-D121</f>
        <v>0</v>
      </c>
      <c r="D122" s="16">
        <f>ROUNDUP(D121,-1)</f>
        <v>0</v>
      </c>
      <c r="G122" t="str">
        <f>IF(H122&gt;0,"調整あり","")</f>
        <v/>
      </c>
      <c r="H122" s="12">
        <f>I122-I121</f>
        <v>0</v>
      </c>
      <c r="I122" s="16">
        <f>ROUNDUP(I121,-1)</f>
        <v>0</v>
      </c>
    </row>
    <row r="124" spans="1:9">
      <c r="A124" s="6" t="s">
        <v>9</v>
      </c>
      <c r="B124" s="8">
        <f>$A$2</f>
        <v>45774</v>
      </c>
      <c r="C124" s="2"/>
      <c r="D124" s="2"/>
      <c r="F124" s="6" t="s">
        <v>9</v>
      </c>
      <c r="G124" s="8">
        <f>$A$2</f>
        <v>45774</v>
      </c>
      <c r="H124" s="2"/>
      <c r="I124" s="2"/>
    </row>
    <row r="125" spans="1:9">
      <c r="A125" s="7" t="s">
        <v>4</v>
      </c>
      <c r="B125" s="14"/>
      <c r="C125" s="2"/>
      <c r="D125" s="18">
        <f>I113+1</f>
        <v>21</v>
      </c>
      <c r="F125" s="7" t="s">
        <v>4</v>
      </c>
      <c r="G125" s="14"/>
      <c r="H125" s="2"/>
      <c r="I125" s="18">
        <f>D125+1</f>
        <v>22</v>
      </c>
    </row>
    <row r="126" spans="1:9">
      <c r="A126" s="3" t="s">
        <v>3</v>
      </c>
      <c r="B126" s="3" t="s">
        <v>6</v>
      </c>
      <c r="C126" s="3" t="s">
        <v>5</v>
      </c>
      <c r="D126" s="3" t="s">
        <v>7</v>
      </c>
      <c r="F126" s="3" t="s">
        <v>3</v>
      </c>
      <c r="G126" s="3" t="s">
        <v>6</v>
      </c>
      <c r="H126" s="3" t="s">
        <v>5</v>
      </c>
      <c r="I126" s="3" t="s">
        <v>7</v>
      </c>
    </row>
    <row r="127" spans="1:9">
      <c r="A127" s="3">
        <v>1</v>
      </c>
      <c r="B127" s="9">
        <f>$E$2</f>
        <v>200</v>
      </c>
      <c r="C127" s="13"/>
      <c r="D127" s="5">
        <f>B127*C127</f>
        <v>0</v>
      </c>
      <c r="F127" s="3">
        <v>1</v>
      </c>
      <c r="G127" s="9">
        <f>$E$2</f>
        <v>200</v>
      </c>
      <c r="H127" s="13"/>
      <c r="I127" s="5">
        <f>G127*H127</f>
        <v>0</v>
      </c>
    </row>
    <row r="128" spans="1:9">
      <c r="A128" s="3">
        <v>2</v>
      </c>
      <c r="B128" s="9">
        <f>$F$2</f>
        <v>200</v>
      </c>
      <c r="C128" s="13"/>
      <c r="D128" s="5">
        <f t="shared" ref="D128:D131" si="20">B128*C128</f>
        <v>0</v>
      </c>
      <c r="F128" s="3">
        <v>2</v>
      </c>
      <c r="G128" s="9">
        <f>$F$2</f>
        <v>200</v>
      </c>
      <c r="H128" s="13"/>
      <c r="I128" s="5">
        <f t="shared" ref="I128:I131" si="21">G128*H128</f>
        <v>0</v>
      </c>
    </row>
    <row r="129" spans="1:9">
      <c r="A129" s="3">
        <v>3</v>
      </c>
      <c r="B129" s="9">
        <f>$G$2</f>
        <v>100</v>
      </c>
      <c r="C129" s="13"/>
      <c r="D129" s="5">
        <f t="shared" si="20"/>
        <v>0</v>
      </c>
      <c r="F129" s="3">
        <v>3</v>
      </c>
      <c r="G129" s="9">
        <f>$G$2</f>
        <v>100</v>
      </c>
      <c r="H129" s="13"/>
      <c r="I129" s="5">
        <f t="shared" si="21"/>
        <v>0</v>
      </c>
    </row>
    <row r="130" spans="1:9">
      <c r="A130" s="3">
        <v>4</v>
      </c>
      <c r="B130" s="9">
        <f>$H$2</f>
        <v>80</v>
      </c>
      <c r="C130" s="13"/>
      <c r="D130" s="5">
        <f t="shared" si="20"/>
        <v>0</v>
      </c>
      <c r="F130" s="3">
        <v>4</v>
      </c>
      <c r="G130" s="9">
        <f>$H$2</f>
        <v>80</v>
      </c>
      <c r="H130" s="13"/>
      <c r="I130" s="5">
        <f t="shared" si="21"/>
        <v>0</v>
      </c>
    </row>
    <row r="131" spans="1:9">
      <c r="A131" s="3">
        <v>5</v>
      </c>
      <c r="B131" s="9">
        <f>$I$2</f>
        <v>60</v>
      </c>
      <c r="C131" s="13"/>
      <c r="D131" s="5">
        <f t="shared" si="20"/>
        <v>0</v>
      </c>
      <c r="F131" s="3">
        <v>5</v>
      </c>
      <c r="G131" s="9">
        <f>$I$2</f>
        <v>60</v>
      </c>
      <c r="H131" s="13"/>
      <c r="I131" s="5">
        <f t="shared" si="21"/>
        <v>0</v>
      </c>
    </row>
    <row r="132" spans="1:9">
      <c r="A132" s="3" t="s">
        <v>2</v>
      </c>
      <c r="B132" s="9">
        <f>$J$2</f>
        <v>50</v>
      </c>
      <c r="C132" s="13"/>
      <c r="D132" s="5">
        <f>B132*C132</f>
        <v>0</v>
      </c>
      <c r="F132" s="3" t="s">
        <v>2</v>
      </c>
      <c r="G132" s="9">
        <f>$J$2</f>
        <v>50</v>
      </c>
      <c r="H132" s="13"/>
      <c r="I132" s="5">
        <f>G132*H132</f>
        <v>0</v>
      </c>
    </row>
    <row r="133" spans="1:9" ht="19.5" thickBot="1">
      <c r="A133" s="3"/>
      <c r="B133" s="3" t="s">
        <v>8</v>
      </c>
      <c r="C133" s="10">
        <f>SUM(C127:C132)</f>
        <v>0</v>
      </c>
      <c r="D133" s="11">
        <f>SUM(D127:D132)</f>
        <v>0</v>
      </c>
      <c r="F133" s="3"/>
      <c r="G133" s="3" t="s">
        <v>8</v>
      </c>
      <c r="H133" s="10">
        <f>SUM(H127:H132)</f>
        <v>0</v>
      </c>
      <c r="I133" s="11">
        <f>SUM(I127:I132)</f>
        <v>0</v>
      </c>
    </row>
    <row r="134" spans="1:9" ht="20.25" thickBot="1">
      <c r="B134" t="str">
        <f>IF(C134&gt;0,"調整あり","")</f>
        <v/>
      </c>
      <c r="C134" s="12">
        <f>D134-D133</f>
        <v>0</v>
      </c>
      <c r="D134" s="16">
        <f>ROUNDUP(D133,-1)</f>
        <v>0</v>
      </c>
      <c r="G134" t="str">
        <f>IF(H134&gt;0,"調整あり","")</f>
        <v/>
      </c>
      <c r="H134" s="12">
        <f>I134-I133</f>
        <v>0</v>
      </c>
      <c r="I134" s="16">
        <f>ROUNDUP(I133,-1)</f>
        <v>0</v>
      </c>
    </row>
    <row r="136" spans="1:9">
      <c r="A136" s="6" t="s">
        <v>9</v>
      </c>
      <c r="B136" s="8">
        <f>$A$2</f>
        <v>45774</v>
      </c>
      <c r="C136" s="2"/>
      <c r="D136" s="2"/>
      <c r="F136" s="6" t="s">
        <v>9</v>
      </c>
      <c r="G136" s="8">
        <f>$A$2</f>
        <v>45774</v>
      </c>
      <c r="H136" s="2"/>
      <c r="I136" s="2"/>
    </row>
    <row r="137" spans="1:9">
      <c r="A137" s="7" t="s">
        <v>4</v>
      </c>
      <c r="B137" s="14"/>
      <c r="C137" s="2"/>
      <c r="D137" s="18">
        <f>I125+1</f>
        <v>23</v>
      </c>
      <c r="F137" s="7" t="s">
        <v>4</v>
      </c>
      <c r="G137" s="14"/>
      <c r="H137" s="2"/>
      <c r="I137" s="18">
        <f>D137+1</f>
        <v>24</v>
      </c>
    </row>
    <row r="138" spans="1:9">
      <c r="A138" s="3" t="s">
        <v>3</v>
      </c>
      <c r="B138" s="3" t="s">
        <v>6</v>
      </c>
      <c r="C138" s="3" t="s">
        <v>5</v>
      </c>
      <c r="D138" s="3" t="s">
        <v>7</v>
      </c>
      <c r="F138" s="3" t="s">
        <v>3</v>
      </c>
      <c r="G138" s="3" t="s">
        <v>6</v>
      </c>
      <c r="H138" s="3" t="s">
        <v>5</v>
      </c>
      <c r="I138" s="3" t="s">
        <v>7</v>
      </c>
    </row>
    <row r="139" spans="1:9">
      <c r="A139" s="3">
        <v>1</v>
      </c>
      <c r="B139" s="9">
        <f>$E$2</f>
        <v>200</v>
      </c>
      <c r="C139" s="13"/>
      <c r="D139" s="5">
        <f>B139*C139</f>
        <v>0</v>
      </c>
      <c r="F139" s="3">
        <v>1</v>
      </c>
      <c r="G139" s="9">
        <f>$E$2</f>
        <v>200</v>
      </c>
      <c r="H139" s="13"/>
      <c r="I139" s="5">
        <f>G139*H139</f>
        <v>0</v>
      </c>
    </row>
    <row r="140" spans="1:9">
      <c r="A140" s="3">
        <v>2</v>
      </c>
      <c r="B140" s="9">
        <f>$F$2</f>
        <v>200</v>
      </c>
      <c r="C140" s="13"/>
      <c r="D140" s="5">
        <f t="shared" ref="D140:D143" si="22">B140*C140</f>
        <v>0</v>
      </c>
      <c r="F140" s="3">
        <v>2</v>
      </c>
      <c r="G140" s="9">
        <f>$F$2</f>
        <v>200</v>
      </c>
      <c r="H140" s="13"/>
      <c r="I140" s="5">
        <f t="shared" ref="I140:I143" si="23">G140*H140</f>
        <v>0</v>
      </c>
    </row>
    <row r="141" spans="1:9">
      <c r="A141" s="3">
        <v>3</v>
      </c>
      <c r="B141" s="9">
        <f>$G$2</f>
        <v>100</v>
      </c>
      <c r="C141" s="13"/>
      <c r="D141" s="5">
        <f t="shared" si="22"/>
        <v>0</v>
      </c>
      <c r="F141" s="3">
        <v>3</v>
      </c>
      <c r="G141" s="9">
        <f>$G$2</f>
        <v>100</v>
      </c>
      <c r="H141" s="13"/>
      <c r="I141" s="5">
        <f t="shared" si="23"/>
        <v>0</v>
      </c>
    </row>
    <row r="142" spans="1:9">
      <c r="A142" s="3">
        <v>4</v>
      </c>
      <c r="B142" s="9">
        <f>$H$2</f>
        <v>80</v>
      </c>
      <c r="C142" s="13"/>
      <c r="D142" s="5">
        <f t="shared" si="22"/>
        <v>0</v>
      </c>
      <c r="F142" s="3">
        <v>4</v>
      </c>
      <c r="G142" s="9">
        <f>$H$2</f>
        <v>80</v>
      </c>
      <c r="H142" s="13"/>
      <c r="I142" s="5">
        <f t="shared" si="23"/>
        <v>0</v>
      </c>
    </row>
    <row r="143" spans="1:9">
      <c r="A143" s="3">
        <v>5</v>
      </c>
      <c r="B143" s="9">
        <f>$I$2</f>
        <v>60</v>
      </c>
      <c r="C143" s="13"/>
      <c r="D143" s="5">
        <f t="shared" si="22"/>
        <v>0</v>
      </c>
      <c r="F143" s="3">
        <v>5</v>
      </c>
      <c r="G143" s="9">
        <f>$I$2</f>
        <v>60</v>
      </c>
      <c r="H143" s="13"/>
      <c r="I143" s="5">
        <f t="shared" si="23"/>
        <v>0</v>
      </c>
    </row>
    <row r="144" spans="1:9">
      <c r="A144" s="3" t="s">
        <v>2</v>
      </c>
      <c r="B144" s="9">
        <f>$J$2</f>
        <v>50</v>
      </c>
      <c r="C144" s="13"/>
      <c r="D144" s="5">
        <f>B144*C144</f>
        <v>0</v>
      </c>
      <c r="F144" s="3" t="s">
        <v>2</v>
      </c>
      <c r="G144" s="9">
        <f>$J$2</f>
        <v>50</v>
      </c>
      <c r="H144" s="13"/>
      <c r="I144" s="5">
        <f>G144*H144</f>
        <v>0</v>
      </c>
    </row>
    <row r="145" spans="1:9" ht="19.5" thickBot="1">
      <c r="A145" s="3"/>
      <c r="B145" s="3" t="s">
        <v>8</v>
      </c>
      <c r="C145" s="10">
        <f>SUM(C139:C144)</f>
        <v>0</v>
      </c>
      <c r="D145" s="11">
        <f>SUM(D139:D144)</f>
        <v>0</v>
      </c>
      <c r="F145" s="3"/>
      <c r="G145" s="3" t="s">
        <v>8</v>
      </c>
      <c r="H145" s="10">
        <f>SUM(H139:H144)</f>
        <v>0</v>
      </c>
      <c r="I145" s="11">
        <f>SUM(I139:I144)</f>
        <v>0</v>
      </c>
    </row>
    <row r="146" spans="1:9" ht="20.25" thickBot="1">
      <c r="B146" t="str">
        <f>IF(C146&gt;0,"調整あり","")</f>
        <v/>
      </c>
      <c r="C146" s="12">
        <f>D146-D145</f>
        <v>0</v>
      </c>
      <c r="D146" s="16">
        <f>ROUNDUP(D145,-1)</f>
        <v>0</v>
      </c>
      <c r="G146" t="str">
        <f>IF(H146&gt;0,"調整あり","")</f>
        <v/>
      </c>
      <c r="H146" s="12">
        <f>I146-I145</f>
        <v>0</v>
      </c>
      <c r="I146" s="16">
        <f>ROUNDUP(I145,-1)</f>
        <v>0</v>
      </c>
    </row>
    <row r="148" spans="1:9">
      <c r="A148" s="6" t="s">
        <v>9</v>
      </c>
      <c r="B148" s="8">
        <f>$A$2</f>
        <v>45774</v>
      </c>
      <c r="C148" s="2"/>
      <c r="D148" s="2"/>
      <c r="F148" s="6" t="s">
        <v>9</v>
      </c>
      <c r="G148" s="8">
        <f>$A$2</f>
        <v>45774</v>
      </c>
      <c r="H148" s="2"/>
      <c r="I148" s="2"/>
    </row>
    <row r="149" spans="1:9">
      <c r="A149" s="7" t="s">
        <v>4</v>
      </c>
      <c r="B149" s="14"/>
      <c r="C149" s="2"/>
      <c r="D149" s="18">
        <f>I137+1</f>
        <v>25</v>
      </c>
      <c r="F149" s="7" t="s">
        <v>4</v>
      </c>
      <c r="G149" s="14"/>
      <c r="H149" s="2"/>
      <c r="I149" s="18">
        <f>D149+1</f>
        <v>26</v>
      </c>
    </row>
    <row r="150" spans="1:9">
      <c r="A150" s="3" t="s">
        <v>3</v>
      </c>
      <c r="B150" s="3" t="s">
        <v>6</v>
      </c>
      <c r="C150" s="3" t="s">
        <v>5</v>
      </c>
      <c r="D150" s="3" t="s">
        <v>7</v>
      </c>
      <c r="F150" s="3" t="s">
        <v>3</v>
      </c>
      <c r="G150" s="3" t="s">
        <v>6</v>
      </c>
      <c r="H150" s="3" t="s">
        <v>5</v>
      </c>
      <c r="I150" s="3" t="s">
        <v>7</v>
      </c>
    </row>
    <row r="151" spans="1:9">
      <c r="A151" s="3">
        <v>1</v>
      </c>
      <c r="B151" s="9">
        <f>$E$2</f>
        <v>200</v>
      </c>
      <c r="C151" s="13"/>
      <c r="D151" s="5">
        <f>B151*C151</f>
        <v>0</v>
      </c>
      <c r="F151" s="3">
        <v>1</v>
      </c>
      <c r="G151" s="9">
        <f>$E$2</f>
        <v>200</v>
      </c>
      <c r="H151" s="13"/>
      <c r="I151" s="5">
        <f>G151*H151</f>
        <v>0</v>
      </c>
    </row>
    <row r="152" spans="1:9">
      <c r="A152" s="3">
        <v>2</v>
      </c>
      <c r="B152" s="9">
        <f>$F$2</f>
        <v>200</v>
      </c>
      <c r="C152" s="13"/>
      <c r="D152" s="5">
        <f t="shared" ref="D152:D155" si="24">B152*C152</f>
        <v>0</v>
      </c>
      <c r="F152" s="3">
        <v>2</v>
      </c>
      <c r="G152" s="9">
        <f>$F$2</f>
        <v>200</v>
      </c>
      <c r="H152" s="13"/>
      <c r="I152" s="5">
        <f t="shared" ref="I152:I155" si="25">G152*H152</f>
        <v>0</v>
      </c>
    </row>
    <row r="153" spans="1:9">
      <c r="A153" s="3">
        <v>3</v>
      </c>
      <c r="B153" s="9">
        <f>$G$2</f>
        <v>100</v>
      </c>
      <c r="C153" s="13"/>
      <c r="D153" s="5">
        <f t="shared" si="24"/>
        <v>0</v>
      </c>
      <c r="F153" s="3">
        <v>3</v>
      </c>
      <c r="G153" s="9">
        <f>$G$2</f>
        <v>100</v>
      </c>
      <c r="H153" s="13"/>
      <c r="I153" s="5">
        <f t="shared" si="25"/>
        <v>0</v>
      </c>
    </row>
    <row r="154" spans="1:9">
      <c r="A154" s="3">
        <v>4</v>
      </c>
      <c r="B154" s="9">
        <f>$H$2</f>
        <v>80</v>
      </c>
      <c r="C154" s="13"/>
      <c r="D154" s="5">
        <f t="shared" si="24"/>
        <v>0</v>
      </c>
      <c r="F154" s="3">
        <v>4</v>
      </c>
      <c r="G154" s="9">
        <f>$H$2</f>
        <v>80</v>
      </c>
      <c r="H154" s="13"/>
      <c r="I154" s="5">
        <f t="shared" si="25"/>
        <v>0</v>
      </c>
    </row>
    <row r="155" spans="1:9">
      <c r="A155" s="3">
        <v>5</v>
      </c>
      <c r="B155" s="9">
        <f>$I$2</f>
        <v>60</v>
      </c>
      <c r="C155" s="13"/>
      <c r="D155" s="5">
        <f t="shared" si="24"/>
        <v>0</v>
      </c>
      <c r="F155" s="3">
        <v>5</v>
      </c>
      <c r="G155" s="9">
        <f>$I$2</f>
        <v>60</v>
      </c>
      <c r="H155" s="13"/>
      <c r="I155" s="5">
        <f t="shared" si="25"/>
        <v>0</v>
      </c>
    </row>
    <row r="156" spans="1:9">
      <c r="A156" s="3" t="s">
        <v>2</v>
      </c>
      <c r="B156" s="9">
        <f>$J$2</f>
        <v>50</v>
      </c>
      <c r="C156" s="13"/>
      <c r="D156" s="5">
        <f>B156*C156</f>
        <v>0</v>
      </c>
      <c r="F156" s="3" t="s">
        <v>2</v>
      </c>
      <c r="G156" s="9">
        <f>$J$2</f>
        <v>50</v>
      </c>
      <c r="H156" s="13"/>
      <c r="I156" s="5">
        <f>G156*H156</f>
        <v>0</v>
      </c>
    </row>
    <row r="157" spans="1:9" ht="19.5" thickBot="1">
      <c r="A157" s="3"/>
      <c r="B157" s="3" t="s">
        <v>8</v>
      </c>
      <c r="C157" s="10">
        <f>SUM(C151:C156)</f>
        <v>0</v>
      </c>
      <c r="D157" s="11">
        <f>SUM(D151:D156)</f>
        <v>0</v>
      </c>
      <c r="F157" s="3"/>
      <c r="G157" s="3" t="s">
        <v>8</v>
      </c>
      <c r="H157" s="10">
        <f>SUM(H151:H156)</f>
        <v>0</v>
      </c>
      <c r="I157" s="11">
        <f>SUM(I151:I156)</f>
        <v>0</v>
      </c>
    </row>
    <row r="158" spans="1:9" ht="20.25" thickBot="1">
      <c r="B158" t="str">
        <f>IF(C158&gt;0,"調整あり","")</f>
        <v/>
      </c>
      <c r="C158" s="12">
        <f>D158-D157</f>
        <v>0</v>
      </c>
      <c r="D158" s="16">
        <f>ROUNDUP(D157,-1)</f>
        <v>0</v>
      </c>
      <c r="G158" t="str">
        <f>IF(H158&gt;0,"調整あり","")</f>
        <v/>
      </c>
      <c r="H158" s="12">
        <f>I158-I157</f>
        <v>0</v>
      </c>
      <c r="I158" s="16">
        <f>ROUNDUP(I157,-1)</f>
        <v>0</v>
      </c>
    </row>
    <row r="160" spans="1:9">
      <c r="A160" s="6" t="s">
        <v>9</v>
      </c>
      <c r="B160" s="8">
        <f>$A$2</f>
        <v>45774</v>
      </c>
      <c r="C160" s="2"/>
      <c r="D160" s="2"/>
      <c r="F160" s="6" t="s">
        <v>9</v>
      </c>
      <c r="G160" s="8">
        <f>$A$2</f>
        <v>45774</v>
      </c>
      <c r="H160" s="2"/>
      <c r="I160" s="2"/>
    </row>
    <row r="161" spans="1:9">
      <c r="A161" s="7" t="s">
        <v>4</v>
      </c>
      <c r="B161" s="14"/>
      <c r="C161" s="2"/>
      <c r="D161" s="18">
        <f>I149+1</f>
        <v>27</v>
      </c>
      <c r="F161" s="7" t="s">
        <v>4</v>
      </c>
      <c r="G161" s="14"/>
      <c r="H161" s="2"/>
      <c r="I161" s="18">
        <f>D161+1</f>
        <v>28</v>
      </c>
    </row>
    <row r="162" spans="1:9">
      <c r="A162" s="3" t="s">
        <v>3</v>
      </c>
      <c r="B162" s="3" t="s">
        <v>6</v>
      </c>
      <c r="C162" s="3" t="s">
        <v>5</v>
      </c>
      <c r="D162" s="3" t="s">
        <v>7</v>
      </c>
      <c r="F162" s="3" t="s">
        <v>3</v>
      </c>
      <c r="G162" s="3" t="s">
        <v>6</v>
      </c>
      <c r="H162" s="3" t="s">
        <v>5</v>
      </c>
      <c r="I162" s="3" t="s">
        <v>7</v>
      </c>
    </row>
    <row r="163" spans="1:9">
      <c r="A163" s="3">
        <v>1</v>
      </c>
      <c r="B163" s="9">
        <f>$E$2</f>
        <v>200</v>
      </c>
      <c r="C163" s="13"/>
      <c r="D163" s="5">
        <f>B163*C163</f>
        <v>0</v>
      </c>
      <c r="F163" s="3">
        <v>1</v>
      </c>
      <c r="G163" s="9">
        <f>$E$2</f>
        <v>200</v>
      </c>
      <c r="H163" s="13"/>
      <c r="I163" s="5">
        <f>G163*H163</f>
        <v>0</v>
      </c>
    </row>
    <row r="164" spans="1:9">
      <c r="A164" s="3">
        <v>2</v>
      </c>
      <c r="B164" s="9">
        <f>$F$2</f>
        <v>200</v>
      </c>
      <c r="C164" s="13"/>
      <c r="D164" s="5">
        <f t="shared" ref="D164:D167" si="26">B164*C164</f>
        <v>0</v>
      </c>
      <c r="F164" s="3">
        <v>2</v>
      </c>
      <c r="G164" s="9">
        <f>$F$2</f>
        <v>200</v>
      </c>
      <c r="H164" s="13"/>
      <c r="I164" s="5">
        <f t="shared" ref="I164:I167" si="27">G164*H164</f>
        <v>0</v>
      </c>
    </row>
    <row r="165" spans="1:9">
      <c r="A165" s="3">
        <v>3</v>
      </c>
      <c r="B165" s="9">
        <f>$G$2</f>
        <v>100</v>
      </c>
      <c r="C165" s="13"/>
      <c r="D165" s="5">
        <f t="shared" si="26"/>
        <v>0</v>
      </c>
      <c r="F165" s="3">
        <v>3</v>
      </c>
      <c r="G165" s="9">
        <f>$G$2</f>
        <v>100</v>
      </c>
      <c r="H165" s="13"/>
      <c r="I165" s="5">
        <f t="shared" si="27"/>
        <v>0</v>
      </c>
    </row>
    <row r="166" spans="1:9">
      <c r="A166" s="3">
        <v>4</v>
      </c>
      <c r="B166" s="9">
        <f>$H$2</f>
        <v>80</v>
      </c>
      <c r="C166" s="13"/>
      <c r="D166" s="5">
        <f t="shared" si="26"/>
        <v>0</v>
      </c>
      <c r="F166" s="3">
        <v>4</v>
      </c>
      <c r="G166" s="9">
        <f>$H$2</f>
        <v>80</v>
      </c>
      <c r="H166" s="13"/>
      <c r="I166" s="5">
        <f t="shared" si="27"/>
        <v>0</v>
      </c>
    </row>
    <row r="167" spans="1:9">
      <c r="A167" s="3">
        <v>5</v>
      </c>
      <c r="B167" s="9">
        <f>$I$2</f>
        <v>60</v>
      </c>
      <c r="C167" s="13"/>
      <c r="D167" s="5">
        <f t="shared" si="26"/>
        <v>0</v>
      </c>
      <c r="F167" s="3">
        <v>5</v>
      </c>
      <c r="G167" s="9">
        <f>$I$2</f>
        <v>60</v>
      </c>
      <c r="H167" s="13"/>
      <c r="I167" s="5">
        <f t="shared" si="27"/>
        <v>0</v>
      </c>
    </row>
    <row r="168" spans="1:9">
      <c r="A168" s="3" t="s">
        <v>2</v>
      </c>
      <c r="B168" s="9">
        <f>$J$2</f>
        <v>50</v>
      </c>
      <c r="C168" s="13"/>
      <c r="D168" s="5">
        <f>B168*C168</f>
        <v>0</v>
      </c>
      <c r="F168" s="3" t="s">
        <v>2</v>
      </c>
      <c r="G168" s="9">
        <f>$J$2</f>
        <v>50</v>
      </c>
      <c r="H168" s="13"/>
      <c r="I168" s="5">
        <f>G168*H168</f>
        <v>0</v>
      </c>
    </row>
    <row r="169" spans="1:9" ht="19.5" thickBot="1">
      <c r="A169" s="3"/>
      <c r="B169" s="3" t="s">
        <v>8</v>
      </c>
      <c r="C169" s="10">
        <f>SUM(C163:C168)</f>
        <v>0</v>
      </c>
      <c r="D169" s="11">
        <f>SUM(D163:D168)</f>
        <v>0</v>
      </c>
      <c r="F169" s="3"/>
      <c r="G169" s="3" t="s">
        <v>8</v>
      </c>
      <c r="H169" s="10">
        <f>SUM(H163:H168)</f>
        <v>0</v>
      </c>
      <c r="I169" s="11">
        <f>SUM(I163:I168)</f>
        <v>0</v>
      </c>
    </row>
    <row r="170" spans="1:9" ht="20.25" thickBot="1">
      <c r="B170" t="str">
        <f>IF(C170&gt;0,"調整あり","")</f>
        <v/>
      </c>
      <c r="C170" s="12">
        <f>D170-D169</f>
        <v>0</v>
      </c>
      <c r="D170" s="16">
        <f>ROUNDUP(D169,-1)</f>
        <v>0</v>
      </c>
      <c r="G170" t="str">
        <f>IF(H170&gt;0,"調整あり","")</f>
        <v/>
      </c>
      <c r="H170" s="12">
        <f>I170-I169</f>
        <v>0</v>
      </c>
      <c r="I170" s="16">
        <f>ROUNDUP(I169,-1)</f>
        <v>0</v>
      </c>
    </row>
    <row r="172" spans="1:9">
      <c r="A172" s="6" t="s">
        <v>9</v>
      </c>
      <c r="B172" s="8">
        <f>$A$2</f>
        <v>45774</v>
      </c>
      <c r="C172" s="2"/>
      <c r="D172" s="2"/>
      <c r="F172" s="6" t="s">
        <v>9</v>
      </c>
      <c r="G172" s="8">
        <f>$A$2</f>
        <v>45774</v>
      </c>
      <c r="H172" s="2"/>
      <c r="I172" s="2"/>
    </row>
    <row r="173" spans="1:9">
      <c r="A173" s="7" t="s">
        <v>4</v>
      </c>
      <c r="B173" s="14"/>
      <c r="C173" s="2"/>
      <c r="D173" s="18">
        <f>I161+1</f>
        <v>29</v>
      </c>
      <c r="F173" s="7" t="s">
        <v>4</v>
      </c>
      <c r="G173" s="14"/>
      <c r="H173" s="2"/>
      <c r="I173" s="18">
        <f>D173+1</f>
        <v>30</v>
      </c>
    </row>
    <row r="174" spans="1:9">
      <c r="A174" s="3" t="s">
        <v>3</v>
      </c>
      <c r="B174" s="3" t="s">
        <v>6</v>
      </c>
      <c r="C174" s="3" t="s">
        <v>5</v>
      </c>
      <c r="D174" s="3" t="s">
        <v>7</v>
      </c>
      <c r="F174" s="3" t="s">
        <v>3</v>
      </c>
      <c r="G174" s="3" t="s">
        <v>6</v>
      </c>
      <c r="H174" s="3" t="s">
        <v>5</v>
      </c>
      <c r="I174" s="3" t="s">
        <v>7</v>
      </c>
    </row>
    <row r="175" spans="1:9">
      <c r="A175" s="3">
        <v>1</v>
      </c>
      <c r="B175" s="9">
        <f>$E$2</f>
        <v>200</v>
      </c>
      <c r="C175" s="13"/>
      <c r="D175" s="5">
        <f>B175*C175</f>
        <v>0</v>
      </c>
      <c r="F175" s="3">
        <v>1</v>
      </c>
      <c r="G175" s="9">
        <f>$E$2</f>
        <v>200</v>
      </c>
      <c r="H175" s="13"/>
      <c r="I175" s="5">
        <f>G175*H175</f>
        <v>0</v>
      </c>
    </row>
    <row r="176" spans="1:9">
      <c r="A176" s="3">
        <v>2</v>
      </c>
      <c r="B176" s="9">
        <f>$F$2</f>
        <v>200</v>
      </c>
      <c r="C176" s="13"/>
      <c r="D176" s="5">
        <f t="shared" ref="D176:D179" si="28">B176*C176</f>
        <v>0</v>
      </c>
      <c r="F176" s="3">
        <v>2</v>
      </c>
      <c r="G176" s="9">
        <f>$F$2</f>
        <v>200</v>
      </c>
      <c r="H176" s="13"/>
      <c r="I176" s="5">
        <f t="shared" ref="I176:I179" si="29">G176*H176</f>
        <v>0</v>
      </c>
    </row>
    <row r="177" spans="1:9">
      <c r="A177" s="3">
        <v>3</v>
      </c>
      <c r="B177" s="9">
        <f>$G$2</f>
        <v>100</v>
      </c>
      <c r="C177" s="13"/>
      <c r="D177" s="5">
        <f t="shared" si="28"/>
        <v>0</v>
      </c>
      <c r="F177" s="3">
        <v>3</v>
      </c>
      <c r="G177" s="9">
        <f>$G$2</f>
        <v>100</v>
      </c>
      <c r="H177" s="13"/>
      <c r="I177" s="5">
        <f t="shared" si="29"/>
        <v>0</v>
      </c>
    </row>
    <row r="178" spans="1:9">
      <c r="A178" s="3">
        <v>4</v>
      </c>
      <c r="B178" s="9">
        <f>$H$2</f>
        <v>80</v>
      </c>
      <c r="C178" s="13"/>
      <c r="D178" s="5">
        <f t="shared" si="28"/>
        <v>0</v>
      </c>
      <c r="F178" s="3">
        <v>4</v>
      </c>
      <c r="G178" s="9">
        <f>$H$2</f>
        <v>80</v>
      </c>
      <c r="H178" s="13"/>
      <c r="I178" s="5">
        <f t="shared" si="29"/>
        <v>0</v>
      </c>
    </row>
    <row r="179" spans="1:9">
      <c r="A179" s="3">
        <v>5</v>
      </c>
      <c r="B179" s="9">
        <f>$I$2</f>
        <v>60</v>
      </c>
      <c r="C179" s="13"/>
      <c r="D179" s="5">
        <f t="shared" si="28"/>
        <v>0</v>
      </c>
      <c r="F179" s="3">
        <v>5</v>
      </c>
      <c r="G179" s="9">
        <f>$I$2</f>
        <v>60</v>
      </c>
      <c r="H179" s="13"/>
      <c r="I179" s="5">
        <f t="shared" si="29"/>
        <v>0</v>
      </c>
    </row>
    <row r="180" spans="1:9">
      <c r="A180" s="3" t="s">
        <v>2</v>
      </c>
      <c r="B180" s="9">
        <f>$J$2</f>
        <v>50</v>
      </c>
      <c r="C180" s="13"/>
      <c r="D180" s="5">
        <f>B180*C180</f>
        <v>0</v>
      </c>
      <c r="F180" s="3" t="s">
        <v>2</v>
      </c>
      <c r="G180" s="9">
        <f>$J$2</f>
        <v>50</v>
      </c>
      <c r="H180" s="13"/>
      <c r="I180" s="5">
        <f>G180*H180</f>
        <v>0</v>
      </c>
    </row>
    <row r="181" spans="1:9" ht="19.5" thickBot="1">
      <c r="A181" s="3"/>
      <c r="B181" s="3" t="s">
        <v>8</v>
      </c>
      <c r="C181" s="10">
        <f>SUM(C175:C180)</f>
        <v>0</v>
      </c>
      <c r="D181" s="11">
        <f>SUM(D175:D180)</f>
        <v>0</v>
      </c>
      <c r="F181" s="3"/>
      <c r="G181" s="3" t="s">
        <v>8</v>
      </c>
      <c r="H181" s="10">
        <f>SUM(H175:H180)</f>
        <v>0</v>
      </c>
      <c r="I181" s="11">
        <f>SUM(I175:I180)</f>
        <v>0</v>
      </c>
    </row>
    <row r="182" spans="1:9" ht="20.25" thickBot="1">
      <c r="B182" t="str">
        <f>IF(C182&gt;0,"調整あり","")</f>
        <v/>
      </c>
      <c r="C182" s="12">
        <f>D182-D181</f>
        <v>0</v>
      </c>
      <c r="D182" s="16">
        <f>ROUNDUP(D181,-1)</f>
        <v>0</v>
      </c>
      <c r="G182" t="str">
        <f>IF(H182&gt;0,"調整あり","")</f>
        <v/>
      </c>
      <c r="H182" s="12">
        <f>I182-I181</f>
        <v>0</v>
      </c>
      <c r="I182" s="16">
        <f>ROUNDUP(I181,-1)</f>
        <v>0</v>
      </c>
    </row>
  </sheetData>
  <mergeCells count="1">
    <mergeCell ref="C1:C2"/>
  </mergeCells>
  <phoneticPr fontId="2"/>
  <dataValidations count="2">
    <dataValidation imeMode="fullKatakana" allowBlank="1" showInputMessage="1" showErrorMessage="1" sqref="B5 G5 B17 G17 B29 G29 B41 G41 B53 G53 B65 G65 B77 G77 B89 G89 B101 G101 B113 G113 B125 G125 B137 G137 B149 G149 B161 G161 B173 G173"/>
    <dataValidation imeMode="halfAlpha" allowBlank="1" showInputMessage="1" showErrorMessage="1" sqref="A2 C7:C12 H7:H12 H19:H24 C19:C24 H31:H36 C31:C36 H43:H48 C43:C48 C55:C60 H55:H60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learYellowCells">
                <anchor moveWithCells="1" sizeWithCells="1">
                  <from>
                    <xdr:col>1</xdr:col>
                    <xdr:colOff>209550</xdr:colOff>
                    <xdr:row>0</xdr:row>
                    <xdr:rowOff>285750</xdr:rowOff>
                  </from>
                  <to>
                    <xdr:col>1</xdr:col>
                    <xdr:colOff>981075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workbookViewId="0">
      <selection activeCell="E5" sqref="E5"/>
    </sheetView>
  </sheetViews>
  <sheetFormatPr defaultRowHeight="18.75"/>
  <cols>
    <col min="2" max="2" width="10.25" bestFit="1" customWidth="1"/>
    <col min="4" max="4" width="10.625" bestFit="1" customWidth="1"/>
    <col min="5" max="5" width="11.75" bestFit="1" customWidth="1"/>
  </cols>
  <sheetData>
    <row r="1" spans="1:5" ht="30">
      <c r="A1" s="19" t="s">
        <v>10</v>
      </c>
    </row>
    <row r="2" spans="1:5">
      <c r="A2" s="2" t="s">
        <v>9</v>
      </c>
      <c r="B2" s="15">
        <v>45774</v>
      </c>
      <c r="D2" s="2" t="s">
        <v>17</v>
      </c>
      <c r="E2" s="27">
        <v>353230</v>
      </c>
    </row>
    <row r="4" spans="1:5">
      <c r="A4" s="3" t="s">
        <v>11</v>
      </c>
      <c r="B4" s="3" t="s">
        <v>12</v>
      </c>
      <c r="C4" s="3" t="s">
        <v>13</v>
      </c>
      <c r="D4" s="3" t="s">
        <v>14</v>
      </c>
    </row>
    <row r="5" spans="1:5">
      <c r="A5" s="3">
        <v>1</v>
      </c>
      <c r="B5" s="23">
        <f>受付表!C7+受付表!H7+受付表!C19+受付表!H19+受付表!C31+受付表!H31+受付表!C43+受付表!H43+受付表!C55+受付表!H55+受付表!C67+受付表!H67+受付表!C79+受付表!H79+受付表!C91+受付表!H91+受付表!C103+受付表!H103+受付表!C115+受付表!H115+受付表!C127+受付表!H127+受付表!C139+受付表!H139+受付表!C151+受付表!H151+受付表!C163+受付表!H163+受付表!C175+受付表!H175</f>
        <v>373.19999999999993</v>
      </c>
      <c r="C5" s="20">
        <f>受付表!E2</f>
        <v>200</v>
      </c>
      <c r="D5" s="20">
        <f>B5*C5</f>
        <v>74639.999999999985</v>
      </c>
    </row>
    <row r="6" spans="1:5">
      <c r="A6" s="3">
        <v>2</v>
      </c>
      <c r="B6" s="23">
        <f>受付表!C8+受付表!H8+受付表!C20+受付表!H20+受付表!C32+受付表!H32+受付表!C44+受付表!H44+受付表!C56+受付表!H56+受付表!C68+受付表!H68+受付表!C80+受付表!H80+受付表!C92+受付表!H92+受付表!C104+受付表!H104+受付表!C116+受付表!H116+受付表!C128+受付表!H128+受付表!C140+受付表!H140+受付表!C152+受付表!H152+受付表!C164+受付表!H164+受付表!C176+受付表!H176</f>
        <v>118.49999999999999</v>
      </c>
      <c r="C6" s="20">
        <f>受付表!F2</f>
        <v>200</v>
      </c>
      <c r="D6" s="20">
        <f t="shared" ref="D6:D10" si="0">B6*C6</f>
        <v>23699.999999999996</v>
      </c>
    </row>
    <row r="7" spans="1:5">
      <c r="A7" s="3">
        <v>3</v>
      </c>
      <c r="B7" s="23">
        <f>受付表!C9+受付表!H9+受付表!C21+受付表!H21+受付表!C33+受付表!H33+受付表!C45+受付表!H45+受付表!C57+受付表!H57+受付表!C69+受付表!H69+受付表!C81+受付表!H81+受付表!C93+受付表!H93+受付表!C105+受付表!H105+受付表!C117+受付表!H117+受付表!C129+受付表!H129+受付表!C141+受付表!H141+受付表!C153+受付表!H153+受付表!C165+受付表!H165+受付表!C177+受付表!H177</f>
        <v>133.6</v>
      </c>
      <c r="C7" s="20">
        <f>受付表!G2</f>
        <v>100</v>
      </c>
      <c r="D7" s="20">
        <f t="shared" si="0"/>
        <v>13360</v>
      </c>
    </row>
    <row r="8" spans="1:5">
      <c r="A8" s="3">
        <v>4</v>
      </c>
      <c r="B8" s="23">
        <f>受付表!C10+受付表!H10+受付表!C22+受付表!H22+受付表!C34+受付表!H34+受付表!C46+受付表!H46+受付表!C58+受付表!H58+受付表!C70+受付表!H70+受付表!C82+受付表!H82+受付表!C94+受付表!H94+受付表!C106+受付表!H106+受付表!C118+受付表!H118+受付表!C130+受付表!H130+受付表!C142+受付表!H142+受付表!C154+受付表!H154+受付表!C166+受付表!H166+受付表!C178+受付表!H178</f>
        <v>5</v>
      </c>
      <c r="C8" s="20">
        <f>受付表!H2</f>
        <v>80</v>
      </c>
      <c r="D8" s="20">
        <f t="shared" si="0"/>
        <v>400</v>
      </c>
    </row>
    <row r="9" spans="1:5">
      <c r="A9" s="3">
        <v>5</v>
      </c>
      <c r="B9" s="23">
        <f>受付表!C11+受付表!H11+受付表!C23+受付表!H23+受付表!C35+受付表!H35+受付表!C47+受付表!H47+受付表!C59+受付表!H59+受付表!C71+受付表!H71+受付表!C83+受付表!H83+受付表!C95+受付表!H95+受付表!C107+受付表!H107+受付表!C119+受付表!H119+受付表!C131+受付表!H131+受付表!C143+受付表!H143+受付表!C155+受付表!H155+受付表!C167+受付表!H167+受付表!C179+受付表!H179</f>
        <v>0</v>
      </c>
      <c r="C9" s="20">
        <f>受付表!I2</f>
        <v>60</v>
      </c>
      <c r="D9" s="20">
        <f t="shared" si="0"/>
        <v>0</v>
      </c>
    </row>
    <row r="10" spans="1:5">
      <c r="A10" s="3" t="s">
        <v>2</v>
      </c>
      <c r="B10" s="23">
        <f>受付表!C12+受付表!H12+受付表!C24+受付表!H24+受付表!C36+受付表!H36+受付表!C48+受付表!H48+受付表!C60+受付表!H60+受付表!C72+受付表!H72+受付表!C84+受付表!H84+受付表!C96+受付表!H96+受付表!C108+受付表!H108+受付表!C120+受付表!H120+受付表!C132+受付表!H132+受付表!C144+受付表!H144+受付表!C156+受付表!H156+受付表!C168+受付表!H168+受付表!C180+受付表!H180</f>
        <v>497.2</v>
      </c>
      <c r="C10" s="20">
        <f>受付表!J2</f>
        <v>50</v>
      </c>
      <c r="D10" s="20">
        <f t="shared" si="0"/>
        <v>24860</v>
      </c>
    </row>
    <row r="11" spans="1:5">
      <c r="A11" s="3" t="s">
        <v>15</v>
      </c>
      <c r="B11" s="4">
        <f>COUNTIF(受付表!A4:I182,"調整あり")</f>
        <v>7</v>
      </c>
      <c r="C11" s="4"/>
      <c r="D11" s="20">
        <f>受付表!C14+受付表!H14+受付表!C26+受付表!H26+受付表!C38+受付表!H38+受付表!C50+受付表!H50+受付表!C62+受付表!H62+受付表!C74+受付表!H74+受付表!C86+受付表!H86+受付表!C98+受付表!H98+受付表!C110+受付表!H110+受付表!C122+受付表!H122+受付表!C134+受付表!H134+受付表!C146+受付表!H146+受付表!C158+受付表!H158+受付表!C170+受付表!H170+受付表!C182+受付表!H182</f>
        <v>30</v>
      </c>
    </row>
    <row r="12" spans="1:5" ht="19.5" thickBot="1">
      <c r="A12" s="2"/>
    </row>
    <row r="13" spans="1:5" ht="19.5" thickBot="1">
      <c r="A13" s="22" t="s">
        <v>8</v>
      </c>
      <c r="B13" s="24">
        <f>SUM(B5:B10)</f>
        <v>1127.5</v>
      </c>
      <c r="C13" s="22" t="s">
        <v>8</v>
      </c>
      <c r="D13" s="21">
        <f>SUM(D5:D11)</f>
        <v>136990</v>
      </c>
    </row>
    <row r="14" spans="1:5" ht="19.5" thickBot="1"/>
    <row r="15" spans="1:5" ht="19.5" thickBot="1">
      <c r="C15" s="22" t="s">
        <v>16</v>
      </c>
      <c r="D15" s="25">
        <f>E2-D13</f>
        <v>216240</v>
      </c>
    </row>
  </sheetData>
  <phoneticPr fontId="2"/>
  <dataValidations count="1">
    <dataValidation imeMode="halfAlpha" allowBlank="1" showInputMessage="1" showErrorMessage="1" sqref="B2 E2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受付表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2024-03-28T06:39:16Z</dcterms:created>
  <dcterms:modified xsi:type="dcterms:W3CDTF">2025-04-27T07:57:56Z</dcterms:modified>
</cp:coreProperties>
</file>